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451" documentId="13_ncr:1_{A7EC69DB-6D44-4749-9F82-125681D94D53}" xr6:coauthVersionLast="47" xr6:coauthVersionMax="47" xr10:uidLastSave="{9CEB83EF-55A5-424D-9BEA-0262C4905CB5}"/>
  <bookViews>
    <workbookView xWindow="2310" yWindow="-120" windowWidth="36210" windowHeight="15720" tabRatio="769" activeTab="5" xr2:uid="{00000000-000D-0000-FFFF-FFFF00000000}"/>
  </bookViews>
  <sheets>
    <sheet name="Mapa" sheetId="55" r:id="rId1"/>
    <sheet name="Roteiro" sheetId="63" r:id="rId2"/>
    <sheet name="Paradas" sheetId="43" r:id="rId3"/>
    <sheet name="Campings" sheetId="41" r:id="rId4"/>
    <sheet name="Dicas" sheetId="21" r:id="rId5"/>
    <sheet name="Gastos" sheetId="37" r:id="rId6"/>
  </sheets>
  <definedNames>
    <definedName name="_xlnm._FilterDatabase" localSheetId="3" hidden="1">Campings!$A$1:$E$15</definedName>
    <definedName name="_xlnm._FilterDatabase" localSheetId="4" hidden="1">Dicas!$A$1:$B$24</definedName>
    <definedName name="_xlnm._FilterDatabase" localSheetId="2" hidden="1">Paradas!$A$1:$C$22</definedName>
    <definedName name="CHL" localSheetId="5">Gastos!$O$34</definedName>
    <definedName name="CLP" localSheetId="5">Gastos!$O$34</definedName>
    <definedName name="EUR">Gastos!$O$35</definedName>
    <definedName name="IOF" localSheetId="5">Gastos!$O$36</definedName>
    <definedName name="IOF_Wise">Gastos!$O$37</definedName>
    <definedName name="USD" localSheetId="5">Gastos!$O$33</definedName>
    <definedName name="Z_D6C18F5D_C613_4A98_8955_7B30803369DD_.wvu.PrintArea" localSheetId="0" hidden="1">Mapa!#REF!</definedName>
    <definedName name="Z_D6C18F5D_C613_4A98_8955_7B30803369DD_.wvu.PrintArea" localSheetId="1" hidden="1">Roteiro!$B$1:$N$2</definedName>
  </definedNames>
  <calcPr calcId="191029"/>
  <customWorkbookViews>
    <customWorkbookView name="Teste" guid="{D6C18F5D-C613-4A98-8955-7B30803369DD}" maximized="1" windowWidth="1466" windowHeight="675" tabRatio="769" activeSheetId="2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37" l="1"/>
  <c r="M23" i="37"/>
  <c r="O23" i="37" s="1"/>
  <c r="M18" i="37"/>
  <c r="M17" i="37"/>
  <c r="M14" i="37"/>
  <c r="O14" i="37" s="1"/>
  <c r="P14" i="37" s="1"/>
  <c r="I2" i="37" l="1"/>
  <c r="O37" i="37"/>
  <c r="M13" i="37"/>
  <c r="M12" i="37"/>
  <c r="M15" i="37"/>
  <c r="M8" i="37"/>
  <c r="M6" i="37"/>
  <c r="B4" i="63"/>
  <c r="B5" i="63" s="1"/>
  <c r="C3" i="63"/>
  <c r="N18" i="37" l="1"/>
  <c r="O18" i="37" s="1"/>
  <c r="N6" i="37"/>
  <c r="N17" i="37"/>
  <c r="O17" i="37" s="1"/>
  <c r="N12" i="37"/>
  <c r="O12" i="37" s="1"/>
  <c r="N13" i="37"/>
  <c r="O13" i="37" s="1"/>
  <c r="N8" i="37"/>
  <c r="P8" i="37" s="1"/>
  <c r="N7" i="37"/>
  <c r="O7" i="37" s="1"/>
  <c r="P7" i="37" s="1"/>
  <c r="N15" i="37"/>
  <c r="O15" i="37" s="1"/>
  <c r="O6" i="37"/>
  <c r="C5" i="63"/>
  <c r="B6" i="63"/>
  <c r="C4" i="63"/>
  <c r="O8" i="37" l="1"/>
  <c r="B7" i="63"/>
  <c r="C6" i="63"/>
  <c r="C7" i="63" l="1"/>
  <c r="B8" i="63"/>
  <c r="N9" i="37"/>
  <c r="N5" i="37"/>
  <c r="M5" i="37"/>
  <c r="N4" i="37"/>
  <c r="M4" i="37"/>
  <c r="M3" i="37"/>
  <c r="O3" i="37" s="1"/>
  <c r="P3" i="37" s="1"/>
  <c r="M28" i="37"/>
  <c r="O28" i="37" s="1"/>
  <c r="N16" i="37"/>
  <c r="M16" i="37"/>
  <c r="N11" i="37"/>
  <c r="M11" i="37"/>
  <c r="N10" i="37"/>
  <c r="M10" i="37"/>
  <c r="B9" i="63" l="1"/>
  <c r="C8" i="63"/>
  <c r="O5" i="37"/>
  <c r="O11" i="37"/>
  <c r="O16" i="37"/>
  <c r="O10" i="37"/>
  <c r="M2" i="37"/>
  <c r="O2" i="37" s="1"/>
  <c r="P2" i="37" s="1"/>
  <c r="P30" i="37"/>
  <c r="M29" i="37"/>
  <c r="O29" i="37" s="1"/>
  <c r="M27" i="37"/>
  <c r="O27" i="37" s="1"/>
  <c r="M9" i="37"/>
  <c r="O9" i="37" s="1"/>
  <c r="B10" i="63" l="1"/>
  <c r="C9" i="63"/>
  <c r="O4" i="37"/>
  <c r="O30" i="37"/>
  <c r="O31" i="37" s="1"/>
  <c r="B11" i="63" l="1"/>
  <c r="C10" i="63"/>
  <c r="B12" i="63" l="1"/>
  <c r="C11" i="63"/>
  <c r="B13" i="63" l="1"/>
  <c r="C12" i="63"/>
  <c r="B14" i="63" l="1"/>
  <c r="C13" i="63"/>
  <c r="B15" i="63" l="1"/>
  <c r="C14" i="63"/>
  <c r="C15" i="63" l="1"/>
  <c r="B16" i="63"/>
  <c r="B17" i="63" l="1"/>
  <c r="C16" i="63"/>
  <c r="B18" i="63" l="1"/>
  <c r="C18" i="63" s="1"/>
  <c r="C17" i="63"/>
</calcChain>
</file>

<file path=xl/sharedStrings.xml><?xml version="1.0" encoding="utf-8"?>
<sst xmlns="http://schemas.openxmlformats.org/spreadsheetml/2006/main" count="536" uniqueCount="345">
  <si>
    <t>dia</t>
  </si>
  <si>
    <t>data</t>
  </si>
  <si>
    <t>título</t>
  </si>
  <si>
    <t>programação</t>
  </si>
  <si>
    <t>dia da semana</t>
  </si>
  <si>
    <t>tarde</t>
  </si>
  <si>
    <t>noite</t>
  </si>
  <si>
    <t>►</t>
  </si>
  <si>
    <t>Ida</t>
  </si>
  <si>
    <t>Obs</t>
  </si>
  <si>
    <t>Quant</t>
  </si>
  <si>
    <t>Tipo</t>
  </si>
  <si>
    <t>Descrição</t>
  </si>
  <si>
    <t>Preço</t>
  </si>
  <si>
    <t>DICAS</t>
  </si>
  <si>
    <t>TOTAL:</t>
  </si>
  <si>
    <t>ROTEIRO</t>
  </si>
  <si>
    <t>Pessoas</t>
  </si>
  <si>
    <t>Subtotal</t>
  </si>
  <si>
    <t>Pago</t>
  </si>
  <si>
    <t>pernoite</t>
  </si>
  <si>
    <t>Taxes</t>
  </si>
  <si>
    <t>Moeda</t>
  </si>
  <si>
    <t>Subtotal R$</t>
  </si>
  <si>
    <t>DÓLAR:</t>
  </si>
  <si>
    <t>IOF:</t>
  </si>
  <si>
    <t>Transporte</t>
  </si>
  <si>
    <t>FALTA PAGAR:</t>
  </si>
  <si>
    <t>Hospedagem</t>
  </si>
  <si>
    <t>Outros</t>
  </si>
  <si>
    <t>PESO CHILENO:</t>
  </si>
  <si>
    <t>Almoços</t>
  </si>
  <si>
    <t>Jantares</t>
  </si>
  <si>
    <t>LATAM</t>
  </si>
  <si>
    <t>Passeios</t>
  </si>
  <si>
    <t>almoço</t>
  </si>
  <si>
    <t>Almoço</t>
  </si>
  <si>
    <t>https://medium.com/exploradores/12-dias-pelo-sul-do-chile-de-motorhome-c102b33b510e</t>
  </si>
  <si>
    <t>Aluguel Motorhome</t>
  </si>
  <si>
    <t>Mapa</t>
  </si>
  <si>
    <t>https://fuigosteicontei.com.br/carretera-austral-chile/</t>
  </si>
  <si>
    <t>Blog - Carretera Austral</t>
  </si>
  <si>
    <t>https://ww2.copec.cl/stations</t>
  </si>
  <si>
    <t>Lista de postos COPEC</t>
  </si>
  <si>
    <t>https://quantocustaviajar.com/blog/parque-nacional-hornopiren-patagonia-chilena/</t>
  </si>
  <si>
    <t>Parque Nacional Hornopiren</t>
  </si>
  <si>
    <t>https://quantocustaviajar.com/blog/parque-pumalin-douglas-tompkins-patagonia-chilena/</t>
  </si>
  <si>
    <t xml:space="preserve">Parque Pumalín Douglas Tompkins </t>
  </si>
  <si>
    <t>Chaitén</t>
  </si>
  <si>
    <t>https://www.rutadelosparques.org/parque-nacional-pumalin-douglas-tompkins/</t>
  </si>
  <si>
    <t>Parque Pumalín Douglas Tompkins - Trilhas</t>
  </si>
  <si>
    <t>Puyuhuapi</t>
  </si>
  <si>
    <t>La Junta</t>
  </si>
  <si>
    <t>https://www.rutadelosparques.org/parque-nacional-queulat/</t>
  </si>
  <si>
    <t>Parque Nacional Queulat - Trilhas</t>
  </si>
  <si>
    <t>Parque Nacional Queulat</t>
  </si>
  <si>
    <t>https://quantocustaviajar.com/blog/parque-nacional-queulat-chile/</t>
  </si>
  <si>
    <t>https://pegadasnaestrada.com.br/laguna-cerro-castillo-trilha-chile/</t>
  </si>
  <si>
    <t>Parque Nacional Cerro Castillo</t>
  </si>
  <si>
    <t>Puerto Río Tranquilo</t>
  </si>
  <si>
    <t>Coyhaique</t>
  </si>
  <si>
    <t>Cochrane</t>
  </si>
  <si>
    <t>Caleta Tortel</t>
  </si>
  <si>
    <t>https://www.donorteaonorte.com.br/post/carretera-austral</t>
  </si>
  <si>
    <t>Balsas</t>
  </si>
  <si>
    <t>https://www.daninoce.com.br/viagem/chile/informacoes-sobre-as-balsas-carretera-austral-patagonia-chilena/</t>
  </si>
  <si>
    <t>https://www.google.com/maps/d/u/0/edit?mid=1MG3W2Bp-kFXo9MO1BVkIbBkTZiKP0oX0</t>
  </si>
  <si>
    <t>Santiago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</si>
  <si>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</si>
  <si>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</si>
  <si>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</si>
  <si>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</si>
  <si>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</si>
  <si>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</si>
  <si>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</si>
  <si>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</si>
  <si>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</si>
  <si>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</si>
  <si>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</si>
  <si>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</si>
  <si>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https://fridaviaja.wordpress.com/tag/carretera-austral/</t>
  </si>
  <si>
    <t>http://1000dias.com/rodrigo/ode-a-caleta-tortel</t>
  </si>
  <si>
    <t>https://www.maricampos.com/tortel-chile/</t>
  </si>
  <si>
    <t>Blog - Caleta Tortel</t>
  </si>
  <si>
    <t>https://rollingpatagonia.cl/</t>
  </si>
  <si>
    <t>Rolling Patagonia</t>
  </si>
  <si>
    <t>https://pegadasnaestrada.com.br/carretera-austral-chile-roteiro/</t>
  </si>
  <si>
    <t>Dia 13</t>
  </si>
  <si>
    <t>Dia 14</t>
  </si>
  <si>
    <t>Dia 15</t>
  </si>
  <si>
    <t>Gasolina</t>
  </si>
  <si>
    <t>Traslado Balmaceda x Coyhaique</t>
  </si>
  <si>
    <t>Vôo Santiago x Balmaceda</t>
  </si>
  <si>
    <t>Vôo Rio x Santiago</t>
  </si>
  <si>
    <t>Futaleufú</t>
  </si>
  <si>
    <t>https://getoutside.com.br/carretera-austral-guia-com-tudo-o-que-voce-precisa-saber/</t>
  </si>
  <si>
    <t>https://www.laidbacktrip.com/posts/carretera-austral-patagonia-chile-guide</t>
  </si>
  <si>
    <t>https://lodgecaletagonzalo.cl/en/actividades/09-trail-volcan-chaiten/</t>
  </si>
  <si>
    <t>https://www.wikiexplora.com/Reserva_Nacional_Tamango</t>
  </si>
  <si>
    <t>Reserva Nacional Tamango</t>
  </si>
  <si>
    <t>Sendero Volcán Chaitén</t>
  </si>
  <si>
    <t>Villa Cerro Castillo</t>
  </si>
  <si>
    <t>Bolsas prepago Entel</t>
  </si>
  <si>
    <t>https://www.entel.cl/prepago/</t>
  </si>
  <si>
    <t>https://www.campertravelchile.com/rent/campers-motorhomes/pucon-camper-basico</t>
  </si>
  <si>
    <t>Camper Travel Chile</t>
  </si>
  <si>
    <t>https://www.ioverlander.com/places/78472-camping-lago-rousselot</t>
  </si>
  <si>
    <t>Camping Lago Rousselot</t>
  </si>
  <si>
    <t>Cidade</t>
  </si>
  <si>
    <t>Localização</t>
  </si>
  <si>
    <t xml:space="preserve">Camping Agua Vida </t>
  </si>
  <si>
    <t>cidade, ponte Rosselot</t>
  </si>
  <si>
    <t>cidade</t>
  </si>
  <si>
    <t>https://www.ioverlander.com/places/209531-camping-agua-vida</t>
  </si>
  <si>
    <t>wild camping</t>
  </si>
  <si>
    <t>Lago Rosselot boat launch</t>
  </si>
  <si>
    <t>lago Rosselot</t>
  </si>
  <si>
    <t>https://www.ioverlander.com/places/5142-lago-rosselot-boat-launch</t>
  </si>
  <si>
    <t>campground</t>
  </si>
  <si>
    <t>Puerto Aysen</t>
  </si>
  <si>
    <t>Puerto Chacabuco</t>
  </si>
  <si>
    <t>CAMPINGS</t>
  </si>
  <si>
    <t>PARADAS</t>
  </si>
  <si>
    <t>Villa Mañihuales</t>
  </si>
  <si>
    <t>Villa Amengual</t>
  </si>
  <si>
    <t>Puente Presidente Ibáñez, Puerto Chacabuco Oxxean</t>
  </si>
  <si>
    <t>Reserva Nacional Río Simpson, Cascada Velo La Novia, Cascada La Virgen, Plaza de Armas</t>
  </si>
  <si>
    <r>
      <rPr>
        <b/>
        <sz val="11"/>
        <rFont val="Calibri"/>
        <family val="2"/>
      </rPr>
      <t>Caleta Tortel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2h30  </t>
    </r>
    <r>
      <rPr>
        <sz val="10"/>
        <color rgb="FF7030A0"/>
        <rFont val="Calibri"/>
        <family val="2"/>
      </rPr>
      <t>125km</t>
    </r>
  </si>
  <si>
    <r>
      <rPr>
        <b/>
        <sz val="11"/>
        <rFont val="Calibri"/>
        <family val="2"/>
      </rPr>
      <t>Cochrane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2h30  </t>
    </r>
    <r>
      <rPr>
        <sz val="10"/>
        <color rgb="FF7030A0"/>
        <rFont val="Calibri"/>
        <family val="2"/>
      </rPr>
      <t>125km</t>
    </r>
  </si>
  <si>
    <r>
      <t xml:space="preserve">Villa Mañihuales
</t>
    </r>
    <r>
      <rPr>
        <sz val="10"/>
        <color rgb="FF0070C0"/>
        <rFont val="Calibri"/>
        <family val="2"/>
        <scheme val="minor"/>
      </rPr>
      <t xml:space="preserve">1h30  </t>
    </r>
    <r>
      <rPr>
        <sz val="10"/>
        <color rgb="FF7030A0"/>
        <rFont val="Calibri"/>
        <family val="2"/>
        <scheme val="minor"/>
      </rPr>
      <t>88km</t>
    </r>
  </si>
  <si>
    <r>
      <t xml:space="preserve">Villa Amengual
</t>
    </r>
    <r>
      <rPr>
        <sz val="10"/>
        <color rgb="FF0070C0"/>
        <rFont val="Calibri"/>
        <family val="2"/>
      </rPr>
      <t>0h45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59km</t>
    </r>
  </si>
  <si>
    <r>
      <rPr>
        <b/>
        <sz val="11"/>
        <rFont val="Calibri"/>
        <family val="2"/>
      </rPr>
      <t>Puyuhuapi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1h30  </t>
    </r>
    <r>
      <rPr>
        <sz val="10"/>
        <color rgb="FF7030A0"/>
        <rFont val="Calibri"/>
        <family val="2"/>
      </rPr>
      <t>88km</t>
    </r>
  </si>
  <si>
    <r>
      <t xml:space="preserve">La Junta
</t>
    </r>
    <r>
      <rPr>
        <sz val="10"/>
        <color rgb="FF0070C0"/>
        <rFont val="Calibri"/>
        <family val="2"/>
        <scheme val="minor"/>
      </rPr>
      <t>0h45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46km</t>
    </r>
  </si>
  <si>
    <r>
      <t xml:space="preserve">Villa Santa Lucía
</t>
    </r>
    <r>
      <rPr>
        <sz val="10"/>
        <color rgb="FF0070C0"/>
        <rFont val="Calibri"/>
        <family val="2"/>
      </rPr>
      <t>1h00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69km</t>
    </r>
  </si>
  <si>
    <r>
      <rPr>
        <b/>
        <sz val="11"/>
        <rFont val="Calibri"/>
        <family val="2"/>
      </rPr>
      <t>Futaleufú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>1h20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77km</t>
    </r>
  </si>
  <si>
    <r>
      <t xml:space="preserve">Villa Santa Lucía
</t>
    </r>
    <r>
      <rPr>
        <sz val="10"/>
        <color rgb="FF0070C0"/>
        <rFont val="Calibri"/>
        <family val="2"/>
      </rPr>
      <t>1h20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77km</t>
    </r>
  </si>
  <si>
    <r>
      <t xml:space="preserve">Puerto Cardenas
</t>
    </r>
    <r>
      <rPr>
        <sz val="10"/>
        <color rgb="FF0070C0"/>
        <rFont val="Calibri"/>
        <family val="2"/>
      </rPr>
      <t>0h35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32km</t>
    </r>
  </si>
  <si>
    <r>
      <rPr>
        <b/>
        <sz val="11"/>
        <rFont val="Calibri"/>
        <family val="2"/>
      </rPr>
      <t>Chaitén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>0h40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45km</t>
    </r>
  </si>
  <si>
    <r>
      <t xml:space="preserve">Puerto Cardenas
</t>
    </r>
    <r>
      <rPr>
        <sz val="10"/>
        <color rgb="FF0070C0"/>
        <rFont val="Calibri"/>
        <family val="2"/>
      </rPr>
      <t xml:space="preserve">1h00  </t>
    </r>
    <r>
      <rPr>
        <sz val="10"/>
        <color rgb="FF7030A0"/>
        <rFont val="Calibri"/>
        <family val="2"/>
      </rPr>
      <t>58km</t>
    </r>
  </si>
  <si>
    <r>
      <t xml:space="preserve">Villa Santa Lucía
</t>
    </r>
    <r>
      <rPr>
        <sz val="10"/>
        <color rgb="FF0070C0"/>
        <rFont val="Calibri"/>
        <family val="2"/>
      </rPr>
      <t>0h20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18km</t>
    </r>
  </si>
  <si>
    <r>
      <rPr>
        <b/>
        <sz val="11"/>
        <rFont val="Calibri"/>
        <family val="2"/>
      </rPr>
      <t>La Junta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  <scheme val="minor"/>
      </rPr>
      <t>1h00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69km</t>
    </r>
  </si>
  <si>
    <r>
      <rPr>
        <b/>
        <sz val="11"/>
        <rFont val="Calibri"/>
        <family val="2"/>
      </rPr>
      <t>Puyuhuapi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>0h45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45km</t>
    </r>
  </si>
  <si>
    <r>
      <t xml:space="preserve">Caleta Tortel
</t>
    </r>
    <r>
      <rPr>
        <sz val="9"/>
        <color rgb="FF00B050"/>
        <rFont val="Calibri"/>
        <family val="2"/>
        <scheme val="minor"/>
      </rPr>
      <t>com Isla de los Muertos</t>
    </r>
  </si>
  <si>
    <r>
      <t xml:space="preserve">Parque Nacional Queulat
</t>
    </r>
    <r>
      <rPr>
        <sz val="9"/>
        <color rgb="FF00B050"/>
        <rFont val="Calibri"/>
        <family val="2"/>
        <scheme val="minor"/>
      </rPr>
      <t>Trilhas El Aluvión, Laguna Témpanos, Mirador Panorámico</t>
    </r>
    <r>
      <rPr>
        <sz val="11"/>
        <color theme="1"/>
        <rFont val="Calibri"/>
        <family val="2"/>
        <scheme val="minor"/>
      </rPr>
      <t xml:space="preserve">  </t>
    </r>
    <r>
      <rPr>
        <sz val="10"/>
        <color rgb="FF0070C0"/>
        <rFont val="Calibri"/>
        <family val="2"/>
        <scheme val="minor"/>
      </rPr>
      <t>0h30</t>
    </r>
    <r>
      <rPr>
        <sz val="10"/>
        <color theme="1"/>
        <rFont val="Calibri"/>
        <family val="2"/>
        <scheme val="minor"/>
      </rPr>
      <t xml:space="preserve">  </t>
    </r>
    <r>
      <rPr>
        <sz val="10"/>
        <color rgb="FF7030A0"/>
        <rFont val="Calibri"/>
        <family val="2"/>
        <scheme val="minor"/>
      </rPr>
      <t>25km</t>
    </r>
  </si>
  <si>
    <r>
      <t xml:space="preserve">Parque Pumalín
</t>
    </r>
    <r>
      <rPr>
        <sz val="10"/>
        <color rgb="FF0070C0"/>
        <rFont val="Calibri"/>
        <family val="2"/>
        <scheme val="minor"/>
      </rPr>
      <t xml:space="preserve">0h40  </t>
    </r>
    <r>
      <rPr>
        <sz val="10"/>
        <color rgb="FF7030A0"/>
        <rFont val="Calibri"/>
        <family val="2"/>
        <scheme val="minor"/>
      </rPr>
      <t>40km</t>
    </r>
    <r>
      <rPr>
        <sz val="9"/>
        <color rgb="FF0070C0"/>
        <rFont val="Calibri"/>
        <family val="2"/>
        <scheme val="minor"/>
      </rPr>
      <t xml:space="preserve">    </t>
    </r>
    <r>
      <rPr>
        <sz val="9"/>
        <color rgb="FF00B050"/>
        <rFont val="Calibri"/>
        <family val="2"/>
        <scheme val="minor"/>
      </rPr>
      <t>Volcán Chaitén (3h), trilha Los Alerces</t>
    </r>
    <r>
      <rPr>
        <sz val="9"/>
        <color rgb="FF0070C0"/>
        <rFont val="Calibri"/>
        <family val="2"/>
        <scheme val="minor"/>
      </rPr>
      <t xml:space="preserve">    </t>
    </r>
    <r>
      <rPr>
        <sz val="10"/>
        <color rgb="FF0070C0"/>
        <rFont val="Calibri"/>
        <family val="2"/>
        <scheme val="minor"/>
      </rPr>
      <t xml:space="preserve">0h40  </t>
    </r>
    <r>
      <rPr>
        <sz val="10"/>
        <color rgb="FF7030A0"/>
        <rFont val="Calibri"/>
        <family val="2"/>
        <scheme val="minor"/>
      </rPr>
      <t>40km</t>
    </r>
  </si>
  <si>
    <r>
      <t xml:space="preserve">Parque Nacional Cerro Castillo
</t>
    </r>
    <r>
      <rPr>
        <sz val="9"/>
        <color rgb="FF00B050"/>
        <rFont val="Calibri"/>
        <family val="2"/>
        <scheme val="minor"/>
      </rPr>
      <t>trilha Laguna Cerro Castilho (7h)</t>
    </r>
  </si>
  <si>
    <r>
      <t xml:space="preserve">Villa Amengual
</t>
    </r>
    <r>
      <rPr>
        <sz val="10"/>
        <color rgb="FF0070C0"/>
        <rFont val="Calibri"/>
        <family val="2"/>
      </rPr>
      <t>1h15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88km</t>
    </r>
  </si>
  <si>
    <r>
      <t xml:space="preserve">Villa Mañihuales
</t>
    </r>
    <r>
      <rPr>
        <sz val="10"/>
        <color rgb="FF0070C0"/>
        <rFont val="Calibri"/>
        <family val="2"/>
      </rPr>
      <t>0h45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59km</t>
    </r>
  </si>
  <si>
    <r>
      <t xml:space="preserve">El Blanco
</t>
    </r>
    <r>
      <rPr>
        <sz val="10"/>
        <color rgb="FF0070C0"/>
        <rFont val="Calibri"/>
        <family val="2"/>
      </rPr>
      <t xml:space="preserve">0h35  </t>
    </r>
    <r>
      <rPr>
        <sz val="10"/>
        <color rgb="FF7030A0"/>
        <rFont val="Calibri"/>
        <family val="2"/>
      </rPr>
      <t>36km</t>
    </r>
  </si>
  <si>
    <r>
      <rPr>
        <b/>
        <sz val="11"/>
        <rFont val="Calibri"/>
        <family val="2"/>
      </rPr>
      <t>Villa Cerro Castillo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1h00  </t>
    </r>
    <r>
      <rPr>
        <sz val="10"/>
        <color rgb="FF7030A0"/>
        <rFont val="Calibri"/>
        <family val="2"/>
      </rPr>
      <t>62km</t>
    </r>
  </si>
  <si>
    <r>
      <rPr>
        <b/>
        <sz val="11"/>
        <rFont val="Calibri"/>
        <family val="2"/>
      </rPr>
      <t>Puerto Rio Tranquilo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2h15  </t>
    </r>
    <r>
      <rPr>
        <sz val="10"/>
        <color rgb="FF7030A0"/>
        <rFont val="Calibri"/>
        <family val="2"/>
      </rPr>
      <t>121km</t>
    </r>
  </si>
  <si>
    <r>
      <t xml:space="preserve">Tour Capillas de Mármol
</t>
    </r>
    <r>
      <rPr>
        <sz val="10"/>
        <color rgb="FF0070C0"/>
        <rFont val="Calibri"/>
        <family val="2"/>
        <scheme val="minor"/>
      </rPr>
      <t xml:space="preserve">0h15  </t>
    </r>
    <r>
      <rPr>
        <sz val="10"/>
        <color rgb="FF7030A0"/>
        <rFont val="Calibri"/>
        <family val="2"/>
        <scheme val="minor"/>
      </rPr>
      <t>7km</t>
    </r>
    <r>
      <rPr>
        <sz val="9"/>
        <color rgb="FF00B050"/>
        <rFont val="Calibri"/>
        <family val="2"/>
        <scheme val="minor"/>
      </rPr>
      <t xml:space="preserve">    por Bahía Mansa    </t>
    </r>
    <r>
      <rPr>
        <sz val="10"/>
        <color rgb="FF0070C0"/>
        <rFont val="Calibri"/>
        <family val="2"/>
        <scheme val="minor"/>
      </rPr>
      <t xml:space="preserve">0h15  </t>
    </r>
    <r>
      <rPr>
        <sz val="10"/>
        <color rgb="FF7030A0"/>
        <rFont val="Calibri"/>
        <family val="2"/>
        <scheme val="minor"/>
      </rPr>
      <t>7km</t>
    </r>
  </si>
  <si>
    <r>
      <t xml:space="preserve">Puerto Bertrandt
</t>
    </r>
    <r>
      <rPr>
        <sz val="10"/>
        <color rgb="FF0070C0"/>
        <rFont val="Calibri"/>
        <family val="2"/>
      </rPr>
      <t xml:space="preserve">1h40  </t>
    </r>
    <r>
      <rPr>
        <sz val="10"/>
        <color rgb="FF7030A0"/>
        <rFont val="Calibri"/>
        <family val="2"/>
      </rPr>
      <t>67km</t>
    </r>
  </si>
  <si>
    <r>
      <rPr>
        <b/>
        <sz val="11"/>
        <rFont val="Calibri"/>
        <family val="2"/>
      </rPr>
      <t>Cochrane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1h05  </t>
    </r>
    <r>
      <rPr>
        <sz val="10"/>
        <color rgb="FF7030A0"/>
        <rFont val="Calibri"/>
        <family val="2"/>
      </rPr>
      <t>48km</t>
    </r>
  </si>
  <si>
    <r>
      <t xml:space="preserve">Puerto Bertrandt
</t>
    </r>
    <r>
      <rPr>
        <sz val="10"/>
        <color rgb="FF0070C0"/>
        <rFont val="Calibri"/>
        <family val="2"/>
      </rPr>
      <t xml:space="preserve">1h05  </t>
    </r>
    <r>
      <rPr>
        <sz val="10"/>
        <color rgb="FF7030A0"/>
        <rFont val="Calibri"/>
        <family val="2"/>
      </rPr>
      <t>48km</t>
    </r>
  </si>
  <si>
    <r>
      <rPr>
        <b/>
        <sz val="11"/>
        <rFont val="Calibri"/>
        <family val="2"/>
      </rPr>
      <t>P. Rio Tranquilo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1h40  </t>
    </r>
    <r>
      <rPr>
        <sz val="10"/>
        <color rgb="FF7030A0"/>
        <rFont val="Calibri"/>
        <family val="2"/>
      </rPr>
      <t>67km</t>
    </r>
  </si>
  <si>
    <r>
      <t xml:space="preserve">Mirador Glaciar Exploradores
</t>
    </r>
    <r>
      <rPr>
        <sz val="9"/>
        <color rgb="FF0070C0"/>
        <rFont val="Calibri"/>
        <family val="2"/>
        <scheme val="minor"/>
      </rPr>
      <t xml:space="preserve">1h10  </t>
    </r>
    <r>
      <rPr>
        <sz val="9"/>
        <color rgb="FF7030A0"/>
        <rFont val="Calibri"/>
        <family val="2"/>
        <scheme val="minor"/>
      </rPr>
      <t>52km</t>
    </r>
    <r>
      <rPr>
        <sz val="9"/>
        <color rgb="FF0070C0"/>
        <rFont val="Calibri"/>
        <family val="2"/>
        <scheme val="minor"/>
      </rPr>
      <t xml:space="preserve">    </t>
    </r>
    <r>
      <rPr>
        <sz val="9"/>
        <color rgb="FF00B050"/>
        <rFont val="Calibri"/>
        <family val="2"/>
        <scheme val="minor"/>
      </rPr>
      <t xml:space="preserve">1h de trilha (ida e volta)    </t>
    </r>
    <r>
      <rPr>
        <sz val="9"/>
        <color rgb="FF0070C0"/>
        <rFont val="Calibri"/>
        <family val="2"/>
        <scheme val="minor"/>
      </rPr>
      <t xml:space="preserve">1h10  </t>
    </r>
    <r>
      <rPr>
        <sz val="9"/>
        <color rgb="FF7030A0"/>
        <rFont val="Calibri"/>
        <family val="2"/>
        <scheme val="minor"/>
      </rPr>
      <t>52km</t>
    </r>
  </si>
  <si>
    <r>
      <t xml:space="preserve">Villa Cerro Castillo
</t>
    </r>
    <r>
      <rPr>
        <sz val="10"/>
        <color rgb="FF0070C0"/>
        <rFont val="Calibri"/>
        <family val="2"/>
      </rPr>
      <t xml:space="preserve">2h15 </t>
    </r>
    <r>
      <rPr>
        <sz val="10"/>
        <color rgb="FF7030A0"/>
        <rFont val="Calibri"/>
        <family val="2"/>
      </rPr>
      <t>121km</t>
    </r>
  </si>
  <si>
    <r>
      <t xml:space="preserve">El Blanco
</t>
    </r>
    <r>
      <rPr>
        <sz val="10"/>
        <color rgb="FF0070C0"/>
        <rFont val="Calibri"/>
        <family val="2"/>
      </rPr>
      <t xml:space="preserve">1h00  </t>
    </r>
    <r>
      <rPr>
        <sz val="10"/>
        <color rgb="FF7030A0"/>
        <rFont val="Calibri"/>
        <family val="2"/>
      </rPr>
      <t>62km</t>
    </r>
  </si>
  <si>
    <r>
      <rPr>
        <b/>
        <sz val="11"/>
        <rFont val="Calibri"/>
        <family val="2"/>
      </rPr>
      <t>Coyhaique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0h35  </t>
    </r>
    <r>
      <rPr>
        <sz val="10"/>
        <color rgb="FF7030A0"/>
        <rFont val="Calibri"/>
        <family val="2"/>
      </rPr>
      <t>36km</t>
    </r>
  </si>
  <si>
    <r>
      <t xml:space="preserve">La Junta
</t>
    </r>
    <r>
      <rPr>
        <sz val="9"/>
        <color rgb="FF00B050"/>
        <rFont val="Calibri"/>
        <family val="2"/>
        <scheme val="minor"/>
      </rPr>
      <t>Lago Rosselot</t>
    </r>
  </si>
  <si>
    <t>Mirador Rio Cisnes, Piedra El Gato, Salto El Cóndor, Mirador Laguna Los Quetros, Cuesta Queulat, Salto Padre Garcia, Termas Ventisquero</t>
  </si>
  <si>
    <t>Villa Santa Lucía</t>
  </si>
  <si>
    <t>Puerto Cardenas</t>
  </si>
  <si>
    <t>...</t>
  </si>
  <si>
    <t>El Blanco</t>
  </si>
  <si>
    <t>Puerto Rio Tranquilo</t>
  </si>
  <si>
    <t>Puerto Bertrandt</t>
  </si>
  <si>
    <t>Puerto Igeniero Ibañez, Salto Rio Ibañez</t>
  </si>
  <si>
    <t>Plaza Puyuhuapi, Mirador Sendero El Canelo, Muelle de Puyuhuapi, Cementerio Puyuhuapi</t>
  </si>
  <si>
    <t>Puente de las fotos, Tepaluma Patagonian Distillery</t>
  </si>
  <si>
    <t>Termas El Sauce, Lago Rosselot, Plaza de Armas, Parque Urbano Las Bardas, Mirador La Junta</t>
  </si>
  <si>
    <t>Mercado</t>
  </si>
  <si>
    <t>Posto</t>
  </si>
  <si>
    <t>Pasarela Río Frío, Mirador Rio Frio, Mirador Chucao, Villa Santa Lucia</t>
  </si>
  <si>
    <t>Laguna de Las Torres, Villa Amengual</t>
  </si>
  <si>
    <t>Villa Mañihuales, Parque Urbano Natural Las Lavanderas, Laguna Esponja</t>
  </si>
  <si>
    <t>Lago Yelcho, Corredeiras do Rio Futaleufu, Playa Chucao, Lago Espolón</t>
  </si>
  <si>
    <t>Plaza Futaleufu, Laguna Espejo, Playa Los Lolos, Playa Aviv, Playa El Flaco, Piedra del Aguila, Mirador Pozón de los Reyes</t>
  </si>
  <si>
    <r>
      <t xml:space="preserve">Trilha Ventisquero Yelcho
</t>
    </r>
    <r>
      <rPr>
        <sz val="9"/>
        <color rgb="FF00B050"/>
        <rFont val="Calibri"/>
        <family val="2"/>
        <scheme val="minor"/>
      </rPr>
      <t>(3,5h - 6,2km)</t>
    </r>
  </si>
  <si>
    <t>Plaza El Amarillo</t>
  </si>
  <si>
    <t>Ventisquero Yelcho, Mirador Lago Yelcho, Lago Yelcho, Puerto Cárdenas</t>
  </si>
  <si>
    <r>
      <rPr>
        <sz val="11"/>
        <rFont val="Calibri"/>
        <family val="2"/>
      </rPr>
      <t>Trilha Ventisquero El Amarillo</t>
    </r>
    <r>
      <rPr>
        <b/>
        <sz val="11"/>
        <rFont val="Calibri"/>
        <family val="2"/>
      </rPr>
      <t xml:space="preserve">
</t>
    </r>
    <r>
      <rPr>
        <sz val="9"/>
        <color rgb="FF00B050"/>
        <rFont val="Calibri"/>
        <family val="2"/>
      </rPr>
      <t>A partir do Camping Ventisquero (6h - 10km)</t>
    </r>
  </si>
  <si>
    <r>
      <rPr>
        <sz val="11"/>
        <rFont val="Calibri"/>
        <family val="2"/>
      </rPr>
      <t>Puerto Igeniero Ibañez</t>
    </r>
    <r>
      <rPr>
        <b/>
        <sz val="11"/>
        <rFont val="Calibri"/>
        <family val="2"/>
      </rPr>
      <t xml:space="preserve">
</t>
    </r>
    <r>
      <rPr>
        <sz val="9"/>
        <color rgb="FF0070C0"/>
        <rFont val="Calibri"/>
        <family val="2"/>
      </rPr>
      <t>0h45</t>
    </r>
    <r>
      <rPr>
        <sz val="9"/>
        <rFont val="Calibri"/>
        <family val="2"/>
      </rPr>
      <t xml:space="preserve">  </t>
    </r>
    <r>
      <rPr>
        <sz val="9"/>
        <color rgb="FF7030A0"/>
        <rFont val="Calibri"/>
        <family val="2"/>
      </rPr>
      <t>43km</t>
    </r>
    <r>
      <rPr>
        <sz val="9"/>
        <rFont val="Calibri"/>
        <family val="2"/>
      </rPr>
      <t xml:space="preserve">    </t>
    </r>
    <r>
      <rPr>
        <sz val="9"/>
        <color rgb="FF00B050"/>
        <rFont val="Calibri"/>
        <family val="2"/>
      </rPr>
      <t>Salto Rio Ibañez</t>
    </r>
    <r>
      <rPr>
        <sz val="9"/>
        <rFont val="Calibri"/>
        <family val="2"/>
      </rPr>
      <t xml:space="preserve">    </t>
    </r>
    <r>
      <rPr>
        <sz val="9"/>
        <color rgb="FF0070C0"/>
        <rFont val="Calibri"/>
        <family val="2"/>
      </rPr>
      <t>0h45</t>
    </r>
    <r>
      <rPr>
        <sz val="9"/>
        <rFont val="Calibri"/>
        <family val="2"/>
      </rPr>
      <t xml:space="preserve">  </t>
    </r>
    <r>
      <rPr>
        <sz val="9"/>
        <color rgb="FF7030A0"/>
        <rFont val="Calibri"/>
        <family val="2"/>
      </rPr>
      <t>43km</t>
    </r>
  </si>
  <si>
    <t>Plaza de Chaitén, Mirador Chaiten, Observador Chaitén, Playa Chaitén, Observatorio de Playa Chaitén y Volcán Corcovado, Plaza San Pedro</t>
  </si>
  <si>
    <t>IOF Wise BRL -&gt; $$$:</t>
  </si>
  <si>
    <t>Hotel Santiago 1</t>
  </si>
  <si>
    <t>Hotel Santiago 2</t>
  </si>
  <si>
    <t>Shalom_MatSofy</t>
  </si>
  <si>
    <t>-</t>
  </si>
  <si>
    <t>Café</t>
  </si>
  <si>
    <t>Andes Campers</t>
  </si>
  <si>
    <t>https://rollingpatagonia.cl/motorhome/motorhome-compacto/</t>
  </si>
  <si>
    <t>Blog: 12 dias de motorhome pelo sul do Chile</t>
  </si>
  <si>
    <t>EURO:</t>
  </si>
  <si>
    <t>Motorhome compacto</t>
  </si>
  <si>
    <t>Empresa</t>
  </si>
  <si>
    <t>Link</t>
  </si>
  <si>
    <t>Temporada Alta</t>
  </si>
  <si>
    <t>15/11 - 30/11</t>
  </si>
  <si>
    <t>16/11 - 29/11</t>
  </si>
  <si>
    <r>
      <rPr>
        <b/>
        <sz val="11"/>
        <rFont val="Calibri"/>
        <family val="2"/>
      </rPr>
      <t>Vôo Balmaceda x Santiago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>17:25 - 19:47</t>
    </r>
    <r>
      <rPr>
        <sz val="10"/>
        <color rgb="FF0070C0"/>
        <rFont val="Calibri"/>
        <family val="2"/>
      </rPr>
      <t xml:space="preserve"> (2h22)</t>
    </r>
  </si>
  <si>
    <r>
      <rPr>
        <b/>
        <sz val="11"/>
        <rFont val="Calibri"/>
        <family val="2"/>
      </rPr>
      <t xml:space="preserve">Transfer Coyhaique x Balmaceda 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>14:00 - 15:00</t>
    </r>
    <r>
      <rPr>
        <sz val="10"/>
        <rFont val="Calibri"/>
        <family val="2"/>
      </rPr>
      <t xml:space="preserve"> </t>
    </r>
    <r>
      <rPr>
        <sz val="10"/>
        <color rgb="FF0070C0"/>
        <rFont val="Calibri"/>
        <family val="2"/>
      </rPr>
      <t>(1h00)</t>
    </r>
  </si>
  <si>
    <t>UBER</t>
  </si>
  <si>
    <t>https://www.andescampers.com/modelos-de-campers.php</t>
  </si>
  <si>
    <t>https://fridaviaja.wordpress.com/patagonia-2/parque-nacional-patagonia-e-cochrane/</t>
  </si>
  <si>
    <t>Parque Nacional Patagonia</t>
  </si>
  <si>
    <t>https://www.riofutaleufu.com/copy-of-full-day</t>
  </si>
  <si>
    <t>Rafting no Rio Futaleufu</t>
  </si>
  <si>
    <r>
      <t xml:space="preserve">Futaleufú
</t>
    </r>
    <r>
      <rPr>
        <sz val="9"/>
        <color rgb="FF00B050"/>
        <rFont val="Calibri"/>
        <family val="2"/>
        <scheme val="minor"/>
      </rPr>
      <t>Rafting ou Trilha Pedra de Aguilla, Laguna Espejo, Lago Espolon</t>
    </r>
  </si>
  <si>
    <t>https://g1.globo.com/globo-reporter/playlist/globo-reporter-percorre-a-estrada-da-carretera-austral-no-sul-do-chile.ghtml</t>
  </si>
  <si>
    <t>Globo Reporter</t>
  </si>
  <si>
    <t>Premium</t>
  </si>
  <si>
    <t>RESERVADO</t>
  </si>
  <si>
    <t>Fazer compras</t>
  </si>
  <si>
    <r>
      <t xml:space="preserve">Entregar motorhome
</t>
    </r>
    <r>
      <rPr>
        <sz val="9"/>
        <color rgb="FF00B050"/>
        <rFont val="Calibri"/>
        <family val="2"/>
        <scheme val="minor"/>
      </rPr>
      <t>10:00</t>
    </r>
  </si>
  <si>
    <r>
      <t xml:space="preserve">Pegar motorhome
</t>
    </r>
    <r>
      <rPr>
        <sz val="10"/>
        <color rgb="FF00B050"/>
        <rFont val="Calibri"/>
        <family val="2"/>
        <scheme val="minor"/>
      </rPr>
      <t>10:00-12:00</t>
    </r>
  </si>
  <si>
    <t>MOTORHOME</t>
  </si>
  <si>
    <t>CARRO</t>
  </si>
  <si>
    <r>
      <t>Puerto Cardenas</t>
    </r>
    <r>
      <rPr>
        <sz val="10"/>
        <color rgb="FF0070C0"/>
        <rFont val="Calibri"/>
        <family val="2"/>
      </rPr>
      <t/>
    </r>
  </si>
  <si>
    <r>
      <t>Villa Santa Lucía</t>
    </r>
    <r>
      <rPr>
        <sz val="10"/>
        <color rgb="FF0070C0"/>
        <rFont val="Calibri"/>
        <family val="2"/>
      </rPr>
      <t/>
    </r>
  </si>
  <si>
    <r>
      <t>Villa Amengual</t>
    </r>
    <r>
      <rPr>
        <sz val="10"/>
        <color rgb="FF0070C0"/>
        <rFont val="Calibri"/>
        <family val="2"/>
      </rPr>
      <t/>
    </r>
  </si>
  <si>
    <r>
      <t>Villa Mañihuales</t>
    </r>
    <r>
      <rPr>
        <sz val="10"/>
        <color rgb="FF0070C0"/>
        <rFont val="Calibri"/>
        <family val="2"/>
      </rPr>
      <t/>
    </r>
  </si>
  <si>
    <t>Balmaceda</t>
  </si>
  <si>
    <r>
      <t>El Blanco</t>
    </r>
    <r>
      <rPr>
        <sz val="10"/>
        <color rgb="FF0070C0"/>
        <rFont val="Calibri"/>
        <family val="2"/>
      </rPr>
      <t/>
    </r>
  </si>
  <si>
    <r>
      <t>Puerto Bertrandt</t>
    </r>
    <r>
      <rPr>
        <sz val="10"/>
        <color rgb="FF0070C0"/>
        <rFont val="Calibri"/>
        <family val="2"/>
      </rPr>
      <t/>
    </r>
  </si>
  <si>
    <t>Descanso</t>
  </si>
  <si>
    <r>
      <rPr>
        <sz val="11"/>
        <rFont val="Calibri"/>
        <family val="2"/>
        <scheme val="minor"/>
      </rPr>
      <t>Lago General Carrera</t>
    </r>
    <r>
      <rPr>
        <sz val="9"/>
        <color rgb="FF00B050"/>
        <rFont val="Calibri"/>
        <family val="2"/>
        <scheme val="minor"/>
      </rPr>
      <t xml:space="preserve">
Lago Bertrand, Rio Bertrand, Rio Baker</t>
    </r>
  </si>
  <si>
    <r>
      <t xml:space="preserve">Parque Nacional Patagônia - Sector Chacabuco
</t>
    </r>
    <r>
      <rPr>
        <sz val="10"/>
        <color rgb="FF00B050"/>
        <rFont val="Calibri"/>
        <family val="2"/>
        <scheme val="minor"/>
      </rPr>
      <t>Rotas de carro (4h)</t>
    </r>
  </si>
  <si>
    <r>
      <t xml:space="preserve">Parque Nacional Patagonia - Sector Tamango
</t>
    </r>
    <r>
      <rPr>
        <sz val="10"/>
        <color rgb="FF00B050"/>
        <rFont val="Calibri"/>
        <family val="2"/>
        <scheme val="minor"/>
      </rPr>
      <t>Rota por trilhas Aguilas, Huemules, Ñirres, Carpinteros (3h)</t>
    </r>
  </si>
  <si>
    <t>1h00  58km</t>
  </si>
  <si>
    <t>0h20  18km</t>
  </si>
  <si>
    <t>1h00  69km</t>
  </si>
  <si>
    <t>1h20  77km</t>
  </si>
  <si>
    <t>0h45  45km</t>
  </si>
  <si>
    <t>1h15  88km</t>
  </si>
  <si>
    <t>0h45  59km</t>
  </si>
  <si>
    <t>1h25  88km</t>
  </si>
  <si>
    <t>0h35  36km</t>
  </si>
  <si>
    <t>1h00  62km</t>
  </si>
  <si>
    <t>2h15 121km</t>
  </si>
  <si>
    <t>1h40  67km</t>
  </si>
  <si>
    <t>1h05  48km</t>
  </si>
  <si>
    <t>2h30  125km</t>
  </si>
  <si>
    <t>1h10  65km</t>
  </si>
  <si>
    <t>0h20  14km</t>
  </si>
  <si>
    <t>1h05  72km</t>
  </si>
  <si>
    <t>0h17  22km</t>
  </si>
  <si>
    <t>Parque Pumalín</t>
  </si>
  <si>
    <t>Trilha Ventisquero El Amarillo</t>
  </si>
  <si>
    <t>Trilha Ventisquero Yelcho</t>
  </si>
  <si>
    <t>Lago Rosselot</t>
  </si>
  <si>
    <t>Puerto Igeniero Ibañez</t>
  </si>
  <si>
    <t>Tour Capillas de Mármol</t>
  </si>
  <si>
    <t>Mirador Glaciar Exploradores</t>
  </si>
  <si>
    <t>Lago General Carrera</t>
  </si>
  <si>
    <t>Parque Nacional Patagônia - Sector Tamango</t>
  </si>
  <si>
    <t>https://www.rutadelosparques.org/parque-nacional-patagonia/</t>
  </si>
  <si>
    <t>https://carretera-austral.cl/</t>
  </si>
  <si>
    <t>Carretera Austral</t>
  </si>
  <si>
    <t>https://www.facebook.com/groups/carreteraaustral</t>
  </si>
  <si>
    <t>Facebook</t>
  </si>
  <si>
    <t>Aluguel Carro</t>
  </si>
  <si>
    <t>Aluguel Campervan</t>
  </si>
  <si>
    <t>https://www.kawascars.com/book-your-kawascar.html/cars/date_from:2025-11-29/time_from:09:00/date_to:2025-12-04/time_to:09:00/pickup_id:2/same_location:1/type_id:0/sorting:sort|asc</t>
  </si>
  <si>
    <t>Kawascars</t>
  </si>
  <si>
    <t>Adventure campervan</t>
  </si>
  <si>
    <t>Chevrolet N400</t>
  </si>
  <si>
    <t>coverage included</t>
  </si>
  <si>
    <t>https://www.europcar.cl</t>
  </si>
  <si>
    <t>Europcar</t>
  </si>
  <si>
    <t>SUV F3</t>
  </si>
  <si>
    <t xml:space="preserve">Volkswagen Taos 4x2 AT </t>
  </si>
  <si>
    <t>Hotel Cochrane</t>
  </si>
  <si>
    <t>Parque Nacional Patagônia - Sector Chacabuco</t>
  </si>
  <si>
    <r>
      <rPr>
        <b/>
        <sz val="14"/>
        <rFont val="Calibri"/>
        <family val="2"/>
      </rPr>
      <t>Chaitén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</si>
  <si>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Futaleufú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</si>
  <si>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La Junta</t>
    </r>
    <r>
      <rPr>
        <sz val="10"/>
        <color rgb="FF0070C0"/>
        <rFont val="Calibri"/>
        <family val="2"/>
        <scheme val="minor"/>
      </rPr>
      <t/>
    </r>
  </si>
  <si>
    <r>
      <rPr>
        <b/>
        <sz val="14"/>
        <rFont val="Calibri"/>
        <family val="2"/>
      </rPr>
      <t>Puyuhuapi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</si>
  <si>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Coyhaique</t>
    </r>
    <r>
      <rPr>
        <sz val="10"/>
        <color rgb="FF0070C0"/>
        <rFont val="Calibri"/>
        <family val="2"/>
        <scheme val="minor"/>
      </rPr>
      <t/>
    </r>
  </si>
  <si>
    <r>
      <rPr>
        <b/>
        <sz val="14"/>
        <rFont val="Calibri"/>
        <family val="2"/>
      </rPr>
      <t>Villa Cerro Castillo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</si>
  <si>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Puerto Rio Tranquilo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</si>
  <si>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Cochrane</t>
    </r>
    <r>
      <rPr>
        <sz val="10"/>
        <color rgb="FF0070C0"/>
        <rFont val="Calibri"/>
        <family val="2"/>
      </rPr>
      <t/>
    </r>
  </si>
  <si>
    <r>
      <rPr>
        <b/>
        <sz val="14"/>
        <rFont val="Calibri"/>
        <family val="2"/>
      </rPr>
      <t>Caleta Tortel</t>
    </r>
    <r>
      <rPr>
        <sz val="10"/>
        <color rgb="FF0070C0"/>
        <rFont val="Calibri"/>
        <family val="2"/>
      </rPr>
      <t/>
    </r>
  </si>
  <si>
    <r>
      <t xml:space="preserve">Puerto Aysen
</t>
    </r>
    <r>
      <rPr>
        <sz val="10"/>
        <color rgb="FF0070C0"/>
        <rFont val="Calibri"/>
        <family val="2"/>
      </rPr>
      <t>0h20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14km</t>
    </r>
  </si>
  <si>
    <r>
      <t xml:space="preserve">Puerto Chacabuco
</t>
    </r>
    <r>
      <rPr>
        <sz val="10"/>
        <color rgb="FF0070C0"/>
        <rFont val="Calibri"/>
        <family val="2"/>
      </rPr>
      <t>1h05</t>
    </r>
    <r>
      <rPr>
        <sz val="10"/>
        <rFont val="Calibri"/>
        <family val="2"/>
      </rPr>
      <t xml:space="preserve">  </t>
    </r>
    <r>
      <rPr>
        <sz val="10"/>
        <color rgb="FF7030A0"/>
        <rFont val="Calibri"/>
        <family val="2"/>
      </rPr>
      <t>72km</t>
    </r>
  </si>
  <si>
    <r>
      <rPr>
        <b/>
        <sz val="11"/>
        <rFont val="Calibri"/>
        <family val="2"/>
      </rPr>
      <t>Coyhaique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  <scheme val="minor"/>
      </rPr>
      <t xml:space="preserve">1h10  </t>
    </r>
    <r>
      <rPr>
        <sz val="10"/>
        <color rgb="FF7030A0"/>
        <rFont val="Calibri"/>
        <family val="2"/>
        <scheme val="minor"/>
      </rPr>
      <t>65km</t>
    </r>
  </si>
  <si>
    <t>Opcionais</t>
  </si>
  <si>
    <r>
      <t xml:space="preserve">Trilha Ventisquero Colgante
</t>
    </r>
    <r>
      <rPr>
        <sz val="10"/>
        <color rgb="FF0070C0"/>
        <rFont val="Calibri"/>
        <family val="2"/>
        <scheme val="minor"/>
      </rPr>
      <t xml:space="preserve">0h30  </t>
    </r>
    <r>
      <rPr>
        <sz val="10"/>
        <color rgb="FF7030A0"/>
        <rFont val="Calibri"/>
        <family val="2"/>
        <scheme val="minor"/>
      </rPr>
      <t xml:space="preserve">25km </t>
    </r>
    <r>
      <rPr>
        <sz val="9"/>
        <color rgb="FF0070C0"/>
        <rFont val="Calibri"/>
        <family val="2"/>
        <scheme val="minor"/>
      </rPr>
      <t xml:space="preserve">  </t>
    </r>
    <r>
      <rPr>
        <sz val="9"/>
        <color rgb="FF00B050"/>
        <rFont val="Calibri"/>
        <family val="2"/>
        <scheme val="minor"/>
      </rPr>
      <t xml:space="preserve"> (4h - 6,5km)</t>
    </r>
  </si>
  <si>
    <t>Reserva Nacional Jeinimeni</t>
  </si>
  <si>
    <r>
      <rPr>
        <b/>
        <sz val="11"/>
        <rFont val="Calibri"/>
        <family val="2"/>
      </rPr>
      <t>Chile Chico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 xml:space="preserve">2h50  </t>
    </r>
    <r>
      <rPr>
        <sz val="10"/>
        <color rgb="FF7030A0"/>
        <rFont val="Calibri"/>
        <family val="2"/>
      </rPr>
      <t>131km</t>
    </r>
  </si>
  <si>
    <r>
      <t xml:space="preserve">Puerto Bertrandt
</t>
    </r>
    <r>
      <rPr>
        <sz val="10"/>
        <color rgb="FF0070C0"/>
        <rFont val="Calibri"/>
        <family val="2"/>
      </rPr>
      <t xml:space="preserve">2h50  </t>
    </r>
    <r>
      <rPr>
        <sz val="10"/>
        <color rgb="FF7030A0"/>
        <rFont val="Calibri"/>
        <family val="2"/>
      </rPr>
      <t>131km</t>
    </r>
  </si>
  <si>
    <r>
      <rPr>
        <b/>
        <sz val="11"/>
        <rFont val="Calibri"/>
        <family val="2"/>
      </rPr>
      <t>Chile Chico</t>
    </r>
    <r>
      <rPr>
        <sz val="11"/>
        <rFont val="Calibri"/>
        <family val="2"/>
      </rPr>
      <t xml:space="preserve">
</t>
    </r>
    <r>
      <rPr>
        <sz val="10"/>
        <color rgb="FF0070C0"/>
        <rFont val="Calibri"/>
        <family val="2"/>
      </rPr>
      <t>2h00 navegação</t>
    </r>
  </si>
  <si>
    <t>Chile Chico</t>
  </si>
  <si>
    <r>
      <rPr>
        <b/>
        <sz val="11"/>
        <rFont val="Calibri"/>
        <family val="2"/>
      </rPr>
      <t>Vôo Santiago x Balmaceda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>13:27 - 15:49</t>
    </r>
    <r>
      <rPr>
        <sz val="10"/>
        <color rgb="FF0070C0"/>
        <rFont val="Calibri"/>
        <family val="2"/>
      </rPr>
      <t xml:space="preserve">  (2h24)</t>
    </r>
  </si>
  <si>
    <r>
      <rPr>
        <b/>
        <sz val="11"/>
        <rFont val="Calibri"/>
        <family val="2"/>
      </rPr>
      <t>Balmaceda  x Coyhaique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 xml:space="preserve">16:30 - 17:30  </t>
    </r>
    <r>
      <rPr>
        <sz val="10"/>
        <color rgb="FF0070C0"/>
        <rFont val="Calibri"/>
        <family val="2"/>
      </rPr>
      <t>(1h00)</t>
    </r>
  </si>
  <si>
    <t>73.133 milhas</t>
  </si>
  <si>
    <t>Premium / Full</t>
  </si>
  <si>
    <t>Minibus</t>
  </si>
  <si>
    <t>https://aeropuertodebalmaceda.cl/servicios/</t>
  </si>
  <si>
    <t>Hotel Coyhaique 1</t>
  </si>
  <si>
    <t>Hostal Esquina Patagonica</t>
  </si>
  <si>
    <t>Quarto Quádruplo</t>
  </si>
  <si>
    <t>Banheiro compartilhado</t>
  </si>
  <si>
    <t>Café da manhã</t>
  </si>
  <si>
    <t>Hotel Coyhaique 2</t>
  </si>
  <si>
    <t>Buen Descanso BSA</t>
  </si>
  <si>
    <t>Quarto duplo</t>
  </si>
  <si>
    <t>Sem café</t>
  </si>
  <si>
    <t>27/11 - 28/11</t>
  </si>
  <si>
    <t>28/11 - 29/11</t>
  </si>
  <si>
    <t>29/11 - 30/11</t>
  </si>
  <si>
    <t>30/11 - 02/12</t>
  </si>
  <si>
    <t>02/12 - 03/12</t>
  </si>
  <si>
    <t>03/12 - 04/12</t>
  </si>
  <si>
    <t>11/12 - 12/12</t>
  </si>
  <si>
    <t>Apart Home Costanera</t>
  </si>
  <si>
    <t>Apartamento de 1 cama</t>
  </si>
  <si>
    <t>Deveria ser USD 856</t>
  </si>
  <si>
    <t>https://www.booking.com/hotel/cl/shalom-matsofy.pt-br.html</t>
  </si>
  <si>
    <t>https://sp.booking.com/hotel/cl/apart-home-costanera.en-gb.html</t>
  </si>
  <si>
    <t>https://sp.booking.com/hotel/cl/departamentos-bsa.en-gb.html</t>
  </si>
  <si>
    <t>CDW/LDW COVERAGE
Vidros e pneus</t>
  </si>
  <si>
    <t>https://esquinapatagonica.cl/home/</t>
  </si>
  <si>
    <r>
      <t xml:space="preserve">Entregar carro
</t>
    </r>
    <r>
      <rPr>
        <sz val="10"/>
        <color rgb="FF00B050"/>
        <rFont val="Calibri"/>
        <family val="2"/>
        <scheme val="minor"/>
      </rPr>
      <t>09:30</t>
    </r>
  </si>
  <si>
    <r>
      <t xml:space="preserve">Pegar carro
</t>
    </r>
    <r>
      <rPr>
        <sz val="10"/>
        <color rgb="FF00B050"/>
        <rFont val="Calibri"/>
        <family val="2"/>
        <scheme val="minor"/>
      </rPr>
      <t>09:30</t>
    </r>
  </si>
  <si>
    <t>NÃO RESERVA</t>
  </si>
  <si>
    <t>Hotel Puerto Rio Tranquilo 1</t>
  </si>
  <si>
    <t>Hotel Puerto Rio Tranquilo 2</t>
  </si>
  <si>
    <t>Cabañas Siempre Verde</t>
  </si>
  <si>
    <t>Chalé</t>
  </si>
  <si>
    <t>https://es-l.airbnb.com/rooms/1021996640495983548</t>
  </si>
  <si>
    <t>Camping Alborada</t>
  </si>
  <si>
    <t>Camping Coyhaique</t>
  </si>
  <si>
    <t>https://ioverlander.com/places/447-camping-alborada</t>
  </si>
  <si>
    <t>Camping Cerro Castillo</t>
  </si>
  <si>
    <t>Camping Puyuhuapi</t>
  </si>
  <si>
    <t>Camping Futaleufú</t>
  </si>
  <si>
    <t>Camping Chaitén</t>
  </si>
  <si>
    <t>Camping La Junta</t>
  </si>
  <si>
    <t>https://ioverlander.com/places/14441-camping-ammonites</t>
  </si>
  <si>
    <t>Camping Ammonites</t>
  </si>
  <si>
    <t>reserva coyhaique</t>
  </si>
  <si>
    <r>
      <rPr>
        <b/>
        <sz val="11"/>
        <rFont val="Calibri"/>
        <family val="2"/>
      </rPr>
      <t>Vôo Rio x Santiago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>12:40 - 17:20</t>
    </r>
    <r>
      <rPr>
        <sz val="10"/>
        <color rgb="FF0070C0"/>
        <rFont val="Calibri"/>
        <family val="2"/>
      </rPr>
      <t xml:space="preserve">  (4h20)</t>
    </r>
  </si>
  <si>
    <r>
      <rPr>
        <b/>
        <sz val="11"/>
        <rFont val="Calibri"/>
        <family val="2"/>
      </rPr>
      <t>Vôo Santiago x Rio</t>
    </r>
    <r>
      <rPr>
        <sz val="11"/>
        <rFont val="Calibri"/>
        <family val="2"/>
      </rPr>
      <t xml:space="preserve">
</t>
    </r>
    <r>
      <rPr>
        <sz val="10"/>
        <color rgb="FF7030A0"/>
        <rFont val="Calibri"/>
        <family val="2"/>
      </rPr>
      <t>10:00 - 14:10</t>
    </r>
    <r>
      <rPr>
        <sz val="10"/>
        <color rgb="FF0070C0"/>
        <rFont val="Calibri"/>
        <family val="2"/>
      </rPr>
      <t xml:space="preserve">  (4h10)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</si>
</sst>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409]#,##0.00"/>
    <numFmt numFmtId="165" formatCode="&quot;R$&quot;\ #,##0.00"/>
    <numFmt numFmtId="166" formatCode="dddd"/>
    <numFmt numFmtId="167" formatCode="[$USD]\ #,##0.00"/>
    <numFmt numFmtId="168" formatCode="&quot;R$&quot;\ #,##0.000"/>
    <numFmt numFmtId="169" formatCode="[$CLP]\ #,##0"/>
  </numFmts>
  <fonts count="5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C00000"/>
      <name val="Calibri"/>
      <family val="2"/>
    </font>
    <font>
      <i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9"/>
      <color rgb="FF0070C0"/>
      <name val="Calibri"/>
      <family val="2"/>
    </font>
    <font>
      <sz val="9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7030A0"/>
      <name val="Calibri"/>
      <family val="2"/>
      <scheme val="minor"/>
    </font>
    <font>
      <sz val="11"/>
      <color theme="1"/>
      <name val="Calibri"/>
      <family val="2"/>
    </font>
    <font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</font>
    <font>
      <i/>
      <sz val="11"/>
      <name val="Calibri"/>
      <family val="2"/>
      <scheme val="minor"/>
    </font>
    <font>
      <sz val="10"/>
      <name val="Calibri"/>
      <family val="2"/>
    </font>
    <font>
      <sz val="10"/>
      <color rgb="FF7030A0"/>
      <name val="Calibri"/>
      <family val="2"/>
    </font>
    <font>
      <sz val="9"/>
      <color rgb="FF7030A0"/>
      <name val="Calibri"/>
      <family val="2"/>
      <scheme val="minor"/>
    </font>
    <font>
      <sz val="9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  <scheme val="minor"/>
    </font>
    <font>
      <sz val="9"/>
      <color rgb="FF00B050"/>
      <name val="Calibri"/>
      <family val="2"/>
    </font>
    <font>
      <sz val="9"/>
      <color rgb="FF7030A0"/>
      <name val="Calibri"/>
      <family val="2"/>
    </font>
    <font>
      <sz val="11"/>
      <color rgb="FF0070C0"/>
      <name val="Calibri"/>
      <family val="2"/>
      <scheme val="minor"/>
    </font>
    <font>
      <u/>
      <sz val="11"/>
      <name val="Calibri"/>
      <family val="2"/>
    </font>
    <font>
      <sz val="9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auto="1"/>
      </patternFill>
    </fill>
    <fill>
      <patternFill patternType="solid">
        <fgColor theme="0"/>
        <bgColor auto="1"/>
      </patternFill>
    </fill>
    <fill>
      <patternFill patternType="solid">
        <fgColor theme="0" tint="-4.9989318521683403E-2"/>
        <bgColor auto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theme="9" tint="0.39994506668294322"/>
      </patternFill>
    </fill>
    <fill>
      <patternFill patternType="solid">
        <fgColor theme="9" tint="0.79998168889431442"/>
        <bgColor theme="9" tint="0.39994506668294322"/>
      </patternFill>
    </fill>
    <fill>
      <patternFill patternType="solid">
        <fgColor theme="6" tint="0.79998168889431442"/>
        <bgColor theme="9" tint="0.39994506668294322"/>
      </patternFill>
    </fill>
    <fill>
      <patternFill patternType="solid">
        <fgColor theme="0" tint="-4.9989318521683403E-2"/>
        <bgColor theme="9" tint="0.39994506668294322"/>
      </patternFill>
    </fill>
    <fill>
      <patternFill patternType="solid">
        <fgColor theme="0"/>
        <bgColor theme="9" tint="0.39994506668294322"/>
      </patternFill>
    </fill>
    <fill>
      <patternFill patternType="solid">
        <fgColor theme="0" tint="-0.249977111117893"/>
        <bgColor theme="9" tint="0.39994506668294322"/>
      </patternFill>
    </fill>
  </fills>
  <borders count="2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249977111117893"/>
      </left>
      <right style="thin">
        <color theme="0" tint="-0.34998626667073579"/>
      </right>
      <top style="medium">
        <color theme="9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9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theme="0" tint="-0.34998626667073579"/>
      </right>
      <top style="thin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9" tint="-0.249977111117893"/>
      </bottom>
      <diagonal/>
    </border>
    <border>
      <left style="thin">
        <color theme="0" tint="-0.34998626667073579"/>
      </left>
      <right style="medium">
        <color theme="9" tint="-0.249977111117893"/>
      </right>
      <top/>
      <bottom style="medium">
        <color theme="9" tint="-0.249977111117893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3" fillId="0" borderId="0"/>
  </cellStyleXfs>
  <cellXfs count="184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6" fillId="6" borderId="0" xfId="0" applyFont="1" applyFill="1" applyAlignment="1">
      <alignment vertical="center"/>
    </xf>
    <xf numFmtId="0" fontId="15" fillId="6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/>
    </xf>
    <xf numFmtId="0" fontId="6" fillId="4" borderId="1" xfId="2" applyFont="1" applyFill="1" applyBorder="1" applyAlignment="1" applyProtection="1">
      <alignment horizontal="left" vertical="center" wrapText="1"/>
    </xf>
    <xf numFmtId="0" fontId="16" fillId="8" borderId="4" xfId="0" applyFont="1" applyFill="1" applyBorder="1" applyAlignment="1">
      <alignment vertical="center"/>
    </xf>
    <xf numFmtId="0" fontId="19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14" fontId="20" fillId="9" borderId="3" xfId="0" applyNumberFormat="1" applyFont="1" applyFill="1" applyBorder="1" applyAlignment="1">
      <alignment horizontal="center" vertical="center" wrapText="1"/>
    </xf>
    <xf numFmtId="0" fontId="9" fillId="4" borderId="1" xfId="1" applyFill="1" applyBorder="1" applyAlignment="1" applyProtection="1">
      <alignment horizontal="left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8" fillId="3" borderId="2" xfId="0" applyFont="1" applyFill="1" applyBorder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166" fontId="10" fillId="9" borderId="3" xfId="0" applyNumberFormat="1" applyFont="1" applyFill="1" applyBorder="1" applyAlignment="1">
      <alignment horizontal="center" vertical="center" wrapText="1"/>
    </xf>
    <xf numFmtId="14" fontId="10" fillId="9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5" fontId="7" fillId="11" borderId="0" xfId="0" applyNumberFormat="1" applyFont="1" applyFill="1" applyAlignment="1">
      <alignment horizontal="left" vertical="center" wrapText="1"/>
    </xf>
    <xf numFmtId="168" fontId="7" fillId="11" borderId="0" xfId="0" applyNumberFormat="1" applyFont="1" applyFill="1" applyAlignment="1">
      <alignment horizontal="left" vertical="center" wrapText="1"/>
    </xf>
    <xf numFmtId="10" fontId="7" fillId="11" borderId="0" xfId="3" applyNumberFormat="1" applyFont="1" applyFill="1" applyBorder="1" applyAlignment="1">
      <alignment horizontal="left" vertical="center" wrapText="1"/>
    </xf>
    <xf numFmtId="169" fontId="0" fillId="0" borderId="1" xfId="0" applyNumberFormat="1" applyBorder="1" applyAlignment="1">
      <alignment horizontal="center" vertical="center" wrapText="1"/>
    </xf>
    <xf numFmtId="0" fontId="12" fillId="3" borderId="2" xfId="0" applyFont="1" applyFill="1" applyBorder="1" applyAlignment="1">
      <alignment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0" fontId="22" fillId="0" borderId="1" xfId="1" applyFont="1" applyFill="1" applyBorder="1" applyAlignment="1" applyProtection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7" fillId="12" borderId="3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vertical="center"/>
    </xf>
    <xf numFmtId="0" fontId="10" fillId="13" borderId="3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4" fillId="4" borderId="1" xfId="2" applyFont="1" applyFill="1" applyBorder="1" applyAlignment="1" applyProtection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" fillId="4" borderId="1" xfId="1" applyFont="1" applyFill="1" applyBorder="1" applyAlignment="1" applyProtection="1">
      <alignment horizontal="left" vertical="center" wrapText="1"/>
    </xf>
    <xf numFmtId="0" fontId="10" fillId="5" borderId="0" xfId="0" applyFont="1" applyFill="1" applyAlignment="1">
      <alignment horizontal="left"/>
    </xf>
    <xf numFmtId="0" fontId="42" fillId="4" borderId="1" xfId="1" applyFont="1" applyFill="1" applyBorder="1" applyAlignment="1" applyProtection="1">
      <alignment horizontal="left" vertical="center" wrapText="1"/>
    </xf>
    <xf numFmtId="0" fontId="43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41" fillId="4" borderId="1" xfId="2" applyFont="1" applyFill="1" applyBorder="1" applyAlignment="1" applyProtection="1">
      <alignment horizontal="center" vertical="center" wrapText="1"/>
    </xf>
    <xf numFmtId="0" fontId="6" fillId="4" borderId="1" xfId="2" applyFont="1" applyFill="1" applyBorder="1" applyAlignment="1" applyProtection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 wrapText="1"/>
    </xf>
    <xf numFmtId="0" fontId="9" fillId="0" borderId="1" xfId="1" applyBorder="1" applyAlignment="1" applyProtection="1">
      <alignment horizontal="left" vertical="center"/>
    </xf>
    <xf numFmtId="0" fontId="3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27" fillId="18" borderId="3" xfId="0" applyFont="1" applyFill="1" applyBorder="1" applyAlignment="1">
      <alignment horizontal="center" vertical="center" wrapText="1"/>
    </xf>
    <xf numFmtId="14" fontId="10" fillId="9" borderId="18" xfId="0" applyNumberFormat="1" applyFont="1" applyFill="1" applyBorder="1" applyAlignment="1">
      <alignment horizontal="center" vertical="center" wrapText="1"/>
    </xf>
    <xf numFmtId="166" fontId="10" fillId="9" borderId="18" xfId="0" applyNumberFormat="1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14" fontId="10" fillId="9" borderId="17" xfId="0" applyNumberFormat="1" applyFont="1" applyFill="1" applyBorder="1" applyAlignment="1">
      <alignment horizontal="center" vertical="center" wrapText="1"/>
    </xf>
    <xf numFmtId="166" fontId="10" fillId="9" borderId="17" xfId="0" applyNumberFormat="1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21" borderId="3" xfId="0" applyFont="1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10" fillId="21" borderId="22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 vertical="center"/>
    </xf>
    <xf numFmtId="0" fontId="46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0" fontId="0" fillId="1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9" fillId="0" borderId="1" xfId="1" applyFill="1" applyBorder="1" applyAlignment="1" applyProtection="1">
      <alignment horizontal="left" vertical="center"/>
    </xf>
    <xf numFmtId="0" fontId="49" fillId="10" borderId="3" xfId="0" applyFont="1" applyFill="1" applyBorder="1" applyAlignment="1">
      <alignment horizontal="center" vertical="center" wrapText="1"/>
    </xf>
    <xf numFmtId="0" fontId="49" fillId="10" borderId="20" xfId="0" applyFont="1" applyFill="1" applyBorder="1" applyAlignment="1">
      <alignment horizontal="center" vertical="center" wrapText="1"/>
    </xf>
    <xf numFmtId="0" fontId="49" fillId="16" borderId="3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10" fillId="22" borderId="21" xfId="0" applyNumberFormat="1" applyFont="1" applyFill="1" applyBorder="1" applyAlignment="1">
      <alignment horizontal="center" vertical="center" wrapText="1"/>
    </xf>
    <xf numFmtId="166" fontId="10" fillId="22" borderId="22" xfId="0" applyNumberFormat="1" applyFont="1" applyFill="1" applyBorder="1" applyAlignment="1">
      <alignment horizontal="center" vertical="center" wrapText="1"/>
    </xf>
    <xf numFmtId="0" fontId="10" fillId="23" borderId="22" xfId="0" applyFont="1" applyFill="1" applyBorder="1" applyAlignment="1">
      <alignment horizontal="center" vertical="center" wrapText="1"/>
    </xf>
    <xf numFmtId="0" fontId="0" fillId="24" borderId="22" xfId="0" applyFill="1" applyBorder="1" applyAlignment="1">
      <alignment horizontal="center" vertical="center" wrapText="1"/>
    </xf>
    <xf numFmtId="0" fontId="27" fillId="25" borderId="22" xfId="0" applyFont="1" applyFill="1" applyBorder="1" applyAlignment="1">
      <alignment horizontal="center" vertical="center" wrapText="1"/>
    </xf>
    <xf numFmtId="0" fontId="0" fillId="26" borderId="22" xfId="0" applyFill="1" applyBorder="1" applyAlignment="1">
      <alignment horizontal="center" vertical="center" wrapText="1"/>
    </xf>
    <xf numFmtId="0" fontId="4" fillId="27" borderId="22" xfId="0" applyFont="1" applyFill="1" applyBorder="1" applyAlignment="1">
      <alignment horizontal="center" vertical="center" wrapText="1"/>
    </xf>
    <xf numFmtId="14" fontId="10" fillId="22" borderId="24" xfId="0" applyNumberFormat="1" applyFont="1" applyFill="1" applyBorder="1" applyAlignment="1">
      <alignment horizontal="center" vertical="center" wrapText="1"/>
    </xf>
    <xf numFmtId="166" fontId="10" fillId="22" borderId="3" xfId="0" applyNumberFormat="1" applyFont="1" applyFill="1" applyBorder="1" applyAlignment="1">
      <alignment horizontal="center" vertical="center" wrapText="1"/>
    </xf>
    <xf numFmtId="0" fontId="10" fillId="23" borderId="3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27" fillId="25" borderId="3" xfId="0" applyFont="1" applyFill="1" applyBorder="1" applyAlignment="1">
      <alignment horizontal="center" vertical="center" wrapText="1"/>
    </xf>
    <xf numFmtId="0" fontId="4" fillId="27" borderId="18" xfId="0" applyFont="1" applyFill="1" applyBorder="1" applyAlignment="1">
      <alignment horizontal="center" vertical="center" wrapText="1"/>
    </xf>
    <xf numFmtId="14" fontId="10" fillId="22" borderId="26" xfId="0" applyNumberFormat="1" applyFont="1" applyFill="1" applyBorder="1" applyAlignment="1">
      <alignment horizontal="center" vertical="center" wrapText="1"/>
    </xf>
    <xf numFmtId="166" fontId="10" fillId="22" borderId="27" xfId="0" applyNumberFormat="1" applyFont="1" applyFill="1" applyBorder="1" applyAlignment="1">
      <alignment horizontal="center" vertical="center" wrapText="1"/>
    </xf>
    <xf numFmtId="0" fontId="10" fillId="23" borderId="27" xfId="0" applyFont="1" applyFill="1" applyBorder="1" applyAlignment="1">
      <alignment horizontal="center" vertical="center" wrapText="1"/>
    </xf>
    <xf numFmtId="0" fontId="0" fillId="26" borderId="27" xfId="0" applyFill="1" applyBorder="1" applyAlignment="1">
      <alignment horizontal="center" vertical="center" wrapText="1"/>
    </xf>
    <xf numFmtId="0" fontId="27" fillId="25" borderId="27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7" fillId="0" borderId="1" xfId="1" applyFont="1" applyFill="1" applyBorder="1" applyAlignment="1" applyProtection="1">
      <alignment horizontal="left" vertical="center"/>
    </xf>
    <xf numFmtId="0" fontId="48" fillId="0" borderId="1" xfId="0" applyFont="1" applyBorder="1" applyAlignment="1">
      <alignment horizontal="center" vertical="center" wrapText="1"/>
    </xf>
    <xf numFmtId="169" fontId="29" fillId="0" borderId="1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4" fillId="0" borderId="11" xfId="1" applyFont="1" applyFill="1" applyBorder="1" applyAlignment="1" applyProtection="1">
      <alignment horizontal="center" vertical="center" textRotation="90" wrapText="1"/>
    </xf>
    <xf numFmtId="0" fontId="0" fillId="17" borderId="3" xfId="0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 textRotation="255"/>
    </xf>
    <xf numFmtId="0" fontId="31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0" fillId="26" borderId="12" xfId="0" applyFill="1" applyBorder="1" applyAlignment="1">
      <alignment horizontal="center" vertical="center" wrapText="1"/>
    </xf>
    <xf numFmtId="0" fontId="0" fillId="26" borderId="14" xfId="0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39" fillId="17" borderId="12" xfId="0" applyFont="1" applyFill="1" applyBorder="1" applyAlignment="1">
      <alignment horizontal="center" vertical="center" wrapText="1"/>
    </xf>
    <xf numFmtId="0" fontId="39" fillId="17" borderId="1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4" borderId="27" xfId="0" applyFill="1" applyBorder="1" applyAlignment="1">
      <alignment horizontal="center" vertical="center" wrapText="1"/>
    </xf>
    <xf numFmtId="0" fontId="4" fillId="27" borderId="27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 textRotation="255"/>
    </xf>
    <xf numFmtId="0" fontId="7" fillId="20" borderId="25" xfId="0" applyFont="1" applyFill="1" applyBorder="1" applyAlignment="1">
      <alignment horizontal="center" vertical="center" textRotation="255"/>
    </xf>
    <xf numFmtId="0" fontId="7" fillId="20" borderId="28" xfId="0" applyFont="1" applyFill="1" applyBorder="1" applyAlignment="1">
      <alignment horizontal="center" vertical="center" textRotation="255"/>
    </xf>
    <xf numFmtId="0" fontId="0" fillId="24" borderId="22" xfId="0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6" fillId="4" borderId="15" xfId="2" applyFont="1" applyFill="1" applyBorder="1" applyAlignment="1" applyProtection="1">
      <alignment horizontal="center" vertical="center" wrapText="1"/>
    </xf>
    <xf numFmtId="0" fontId="6" fillId="4" borderId="16" xfId="2" applyFont="1" applyFill="1" applyBorder="1" applyAlignment="1" applyProtection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 textRotation="90" wrapText="1"/>
    </xf>
    <xf numFmtId="0" fontId="4" fillId="0" borderId="10" xfId="1" applyFont="1" applyFill="1" applyBorder="1" applyAlignment="1" applyProtection="1">
      <alignment horizontal="center" vertical="center" textRotation="90" wrapText="1"/>
    </xf>
    <xf numFmtId="0" fontId="4" fillId="0" borderId="11" xfId="1" applyFont="1" applyFill="1" applyBorder="1" applyAlignment="1" applyProtection="1">
      <alignment horizontal="center" vertical="center" textRotation="90" wrapText="1"/>
    </xf>
    <xf numFmtId="0" fontId="12" fillId="11" borderId="0" xfId="0" applyFont="1" applyFill="1" applyAlignment="1">
      <alignment horizontal="right" vertical="center" wrapText="1"/>
    </xf>
  </cellXfs>
  <cellStyles count="5">
    <cellStyle name="Hiperlink" xfId="1" builtinId="8"/>
    <cellStyle name="Hyperlink_Viagem Disney 2014(2)" xfId="2" xr:uid="{00000000-0005-0000-0000-000001000000}"/>
    <cellStyle name="Normal" xfId="0" builtinId="0"/>
    <cellStyle name="Normal 2" xfId="4" xr:uid="{00000000-0005-0000-0000-000003000000}"/>
    <cellStyle name="Porcentagem" xfId="3" builtinId="5"/>
  </cellStyles>
  <dxfs count="0"/>
  <tableStyles count="0" defaultTableStyle="TableStyleMedium9" defaultPivotStyle="PivotStyleLight16"/>
  <colors>
    <mruColors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overlander.com/places/447-camping-alborada" TargetMode="External"/><Relationship Id="rId2" Type="http://schemas.openxmlformats.org/officeDocument/2006/relationships/hyperlink" Target="https://ioverlander.com/places/14441-camping-ammonites" TargetMode="External"/><Relationship Id="rId1" Type="http://schemas.openxmlformats.org/officeDocument/2006/relationships/hyperlink" Target="https://www.ioverlander.com/places/78472-camping-lago-rousselot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utadelosparques.org/parque-nacional-queulat/" TargetMode="External"/><Relationship Id="rId13" Type="http://schemas.openxmlformats.org/officeDocument/2006/relationships/hyperlink" Target="https://fridaviaja.wordpress.com/tag/carretera-austral/" TargetMode="External"/><Relationship Id="rId18" Type="http://schemas.openxmlformats.org/officeDocument/2006/relationships/hyperlink" Target="https://www.wikiexplora.com/Reserva_Nacional_Tamango" TargetMode="External"/><Relationship Id="rId26" Type="http://schemas.openxmlformats.org/officeDocument/2006/relationships/hyperlink" Target="https://www.riofutaleufu.com/copy-of-full-day" TargetMode="External"/><Relationship Id="rId3" Type="http://schemas.openxmlformats.org/officeDocument/2006/relationships/hyperlink" Target="https://www.google.com/maps/d/u/0/edit?mid=1MG3W2Bp-kFXo9MO1BVkIbBkTZiKP0oX0" TargetMode="External"/><Relationship Id="rId21" Type="http://schemas.openxmlformats.org/officeDocument/2006/relationships/hyperlink" Target="https://www.entel.cl/prepago/" TargetMode="External"/><Relationship Id="rId7" Type="http://schemas.openxmlformats.org/officeDocument/2006/relationships/hyperlink" Target="https://www.rutadelosparques.org/parque-nacional-pumalin-douglas-tompkins/" TargetMode="External"/><Relationship Id="rId12" Type="http://schemas.openxmlformats.org/officeDocument/2006/relationships/hyperlink" Target="https://quantocustaviajar.com/blog/parque-nacional-queulat-chile/" TargetMode="External"/><Relationship Id="rId17" Type="http://schemas.openxmlformats.org/officeDocument/2006/relationships/hyperlink" Target="https://lodgecaletagonzalo.cl/en/actividades/09-trail-volcan-chaiten/" TargetMode="External"/><Relationship Id="rId25" Type="http://schemas.openxmlformats.org/officeDocument/2006/relationships/hyperlink" Target="https://fridaviaja.wordpress.com/patagonia-2/parque-nacional-patagonia-e-cochrane/" TargetMode="External"/><Relationship Id="rId2" Type="http://schemas.openxmlformats.org/officeDocument/2006/relationships/hyperlink" Target="https://medium.com/exploradores/12-dias-pelo-sul-do-chile-de-motorhome-c102b33b510e" TargetMode="External"/><Relationship Id="rId16" Type="http://schemas.openxmlformats.org/officeDocument/2006/relationships/hyperlink" Target="https://pegadasnaestrada.com.br/carretera-austral-chile-roteiro/" TargetMode="External"/><Relationship Id="rId20" Type="http://schemas.openxmlformats.org/officeDocument/2006/relationships/hyperlink" Target="https://getoutside.com.br/carretera-austral-guia-com-tudo-o-que-voce-precisa-saber/" TargetMode="External"/><Relationship Id="rId29" Type="http://schemas.openxmlformats.org/officeDocument/2006/relationships/hyperlink" Target="https://carretera-austral.cl/" TargetMode="External"/><Relationship Id="rId1" Type="http://schemas.openxmlformats.org/officeDocument/2006/relationships/printerSettings" Target="../printerSettings/printerSettings5.bin"/><Relationship Id="rId6" Type="http://schemas.openxmlformats.org/officeDocument/2006/relationships/hyperlink" Target="https://quantocustaviajar.com/blog/parque-pumalin-douglas-tompkins-patagonia-chilena/" TargetMode="External"/><Relationship Id="rId11" Type="http://schemas.openxmlformats.org/officeDocument/2006/relationships/hyperlink" Target="https://www.daninoce.com.br/viagem/chile/informacoes-sobre-as-balsas-carretera-austral-patagonia-chilena/" TargetMode="External"/><Relationship Id="rId24" Type="http://schemas.openxmlformats.org/officeDocument/2006/relationships/hyperlink" Target="https://www.andescampers.com/modelos-de-campers.php" TargetMode="External"/><Relationship Id="rId32" Type="http://schemas.openxmlformats.org/officeDocument/2006/relationships/printerSettings" Target="../printerSettings/printerSettings6.bin"/><Relationship Id="rId5" Type="http://schemas.openxmlformats.org/officeDocument/2006/relationships/hyperlink" Target="https://quantocustaviajar.com/blog/parque-nacional-hornopiren-patagonia-chilena/" TargetMode="External"/><Relationship Id="rId15" Type="http://schemas.openxmlformats.org/officeDocument/2006/relationships/hyperlink" Target="https://rollingpatagonia.cl/" TargetMode="External"/><Relationship Id="rId23" Type="http://schemas.openxmlformats.org/officeDocument/2006/relationships/hyperlink" Target="https://www.campertravelchile.com/rent/campers-motorhomes/pucon-camper-basico" TargetMode="External"/><Relationship Id="rId28" Type="http://schemas.openxmlformats.org/officeDocument/2006/relationships/hyperlink" Target="https://www.rutadelosparques.org/parque-nacional-patagonia/" TargetMode="External"/><Relationship Id="rId10" Type="http://schemas.openxmlformats.org/officeDocument/2006/relationships/hyperlink" Target="https://www.donorteaonorte.com.br/post/carretera-austral" TargetMode="External"/><Relationship Id="rId19" Type="http://schemas.openxmlformats.org/officeDocument/2006/relationships/hyperlink" Target="https://www.laidbacktrip.com/posts/carretera-austral-patagonia-chile-guide" TargetMode="External"/><Relationship Id="rId31" Type="http://schemas.openxmlformats.org/officeDocument/2006/relationships/hyperlink" Target="https://fuigosteicontei.com.br/carretera-austral-chile/" TargetMode="External"/><Relationship Id="rId4" Type="http://schemas.openxmlformats.org/officeDocument/2006/relationships/hyperlink" Target="https://ww2.copec.cl/stations" TargetMode="External"/><Relationship Id="rId9" Type="http://schemas.openxmlformats.org/officeDocument/2006/relationships/hyperlink" Target="https://pegadasnaestrada.com.br/laguna-cerro-castillo-trilha-chile/" TargetMode="External"/><Relationship Id="rId14" Type="http://schemas.openxmlformats.org/officeDocument/2006/relationships/hyperlink" Target="https://www.maricampos.com/tortel-chile/" TargetMode="External"/><Relationship Id="rId22" Type="http://schemas.openxmlformats.org/officeDocument/2006/relationships/hyperlink" Target="http://1000dias.com/rodrigo/ode-a-caleta-tortel" TargetMode="External"/><Relationship Id="rId27" Type="http://schemas.openxmlformats.org/officeDocument/2006/relationships/hyperlink" Target="https://g1.globo.com/globo-reporter/playlist/globo-reporter-percorre-a-estrada-da-carretera-austral-no-sul-do-chile.ghtml" TargetMode="External"/><Relationship Id="rId30" Type="http://schemas.openxmlformats.org/officeDocument/2006/relationships/hyperlink" Target="https://www.facebook.com/groups/carreteraaustra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p.booking.com/hotel/cl/departamentos-bsa.en-gb.html" TargetMode="External"/><Relationship Id="rId13" Type="http://schemas.openxmlformats.org/officeDocument/2006/relationships/printerSettings" Target="../printerSettings/printerSettings7.bin"/><Relationship Id="rId3" Type="http://schemas.openxmlformats.org/officeDocument/2006/relationships/hyperlink" Target="https://www.kawascars.com/book-your-kawascar.html/cars/date_from:2025-11-29/time_from:09:00/date_to:2025-12-04/time_to:09:00/pickup_id:2/same_location:1/type_id:0/sorting:sort|asc" TargetMode="External"/><Relationship Id="rId7" Type="http://schemas.openxmlformats.org/officeDocument/2006/relationships/hyperlink" Target="https://sp.booking.com/hotel/cl/apart-home-costanera.en-gb.html" TargetMode="External"/><Relationship Id="rId12" Type="http://schemas.openxmlformats.org/officeDocument/2006/relationships/hyperlink" Target="https://ioverlander.com/places/447-camping-alborada" TargetMode="External"/><Relationship Id="rId2" Type="http://schemas.openxmlformats.org/officeDocument/2006/relationships/hyperlink" Target="https://www.booking.com/hotel/cl/shalom-matsofy.pt-br.html" TargetMode="External"/><Relationship Id="rId1" Type="http://schemas.openxmlformats.org/officeDocument/2006/relationships/hyperlink" Target="https://www.booking.com/hotel/cl/shalom-matsofy.pt-br.html" TargetMode="External"/><Relationship Id="rId6" Type="http://schemas.openxmlformats.org/officeDocument/2006/relationships/hyperlink" Target="https://esquinapatagonica.cl/home/" TargetMode="External"/><Relationship Id="rId11" Type="http://schemas.openxmlformats.org/officeDocument/2006/relationships/hyperlink" Target="https://ioverlander.com/places/447-camping-alborada" TargetMode="External"/><Relationship Id="rId5" Type="http://schemas.openxmlformats.org/officeDocument/2006/relationships/hyperlink" Target="https://aeropuertodebalmaceda.cl/servicios/" TargetMode="External"/><Relationship Id="rId10" Type="http://schemas.openxmlformats.org/officeDocument/2006/relationships/hyperlink" Target="https://es-l.airbnb.com/rooms/1021996640495983548" TargetMode="External"/><Relationship Id="rId4" Type="http://schemas.openxmlformats.org/officeDocument/2006/relationships/hyperlink" Target="https://www.europcar.cl/" TargetMode="External"/><Relationship Id="rId9" Type="http://schemas.openxmlformats.org/officeDocument/2006/relationships/hyperlink" Target="https://esquinapatagonica.cl/h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autoPageBreaks="0"/>
  </sheetPr>
  <dimension ref="B1:L39"/>
  <sheetViews>
    <sheetView zoomScale="85" zoomScaleNormal="85" zoomScaleSheetLayoutView="100" workbookViewId="0">
      <selection activeCell="C16" sqref="C16"/>
    </sheetView>
  </sheetViews>
  <sheetFormatPr defaultColWidth="30.7109375" defaultRowHeight="30" customHeight="1" x14ac:dyDescent="0.25"/>
  <cols>
    <col min="1" max="1" width="2.7109375" style="11" customWidth="1"/>
    <col min="2" max="2" width="30.7109375" style="14"/>
    <col min="3" max="3" width="12.7109375" style="14" customWidth="1"/>
    <col min="4" max="8" width="30.7109375" style="11"/>
    <col min="9" max="9" width="30.7109375" style="14"/>
    <col min="10" max="10" width="30.7109375" style="31"/>
    <col min="11" max="16384" width="30.7109375" style="11"/>
  </cols>
  <sheetData>
    <row r="1" spans="2:10" ht="15" customHeight="1" x14ac:dyDescent="0.25">
      <c r="J1" s="11"/>
    </row>
    <row r="2" spans="2:10" ht="30" customHeight="1" x14ac:dyDescent="0.25">
      <c r="B2" s="104" t="s">
        <v>275</v>
      </c>
      <c r="D2" s="100" t="s">
        <v>248</v>
      </c>
      <c r="E2" s="102" t="s">
        <v>249</v>
      </c>
      <c r="I2" s="11"/>
      <c r="J2" s="11"/>
    </row>
    <row r="3" spans="2:10" s="97" customFormat="1" ht="15" customHeight="1" x14ac:dyDescent="0.25">
      <c r="B3" s="96" t="s">
        <v>230</v>
      </c>
      <c r="C3" s="96"/>
    </row>
    <row r="4" spans="2:10" ht="30" customHeight="1" x14ac:dyDescent="0.25">
      <c r="B4" s="104" t="s">
        <v>219</v>
      </c>
      <c r="D4" s="102" t="s">
        <v>250</v>
      </c>
      <c r="G4" s="31"/>
      <c r="H4" s="31"/>
    </row>
    <row r="5" spans="2:10" s="97" customFormat="1" ht="15" customHeight="1" x14ac:dyDescent="0.25">
      <c r="B5" s="96" t="s">
        <v>231</v>
      </c>
      <c r="C5" s="96"/>
    </row>
    <row r="6" spans="2:10" ht="30" customHeight="1" x14ac:dyDescent="0.25">
      <c r="B6" s="104" t="s">
        <v>220</v>
      </c>
      <c r="C6" s="96" t="s">
        <v>233</v>
      </c>
      <c r="D6" s="104" t="s">
        <v>276</v>
      </c>
      <c r="E6" s="101" t="s">
        <v>94</v>
      </c>
      <c r="F6" s="31"/>
      <c r="G6" s="31"/>
      <c r="H6" s="31"/>
    </row>
    <row r="7" spans="2:10" s="97" customFormat="1" ht="15" customHeight="1" x14ac:dyDescent="0.25">
      <c r="B7" s="96" t="s">
        <v>232</v>
      </c>
      <c r="C7" s="96"/>
    </row>
    <row r="8" spans="2:10" ht="30" customHeight="1" x14ac:dyDescent="0.25">
      <c r="B8" s="104" t="s">
        <v>277</v>
      </c>
      <c r="D8" s="102" t="s">
        <v>251</v>
      </c>
      <c r="E8" s="97"/>
      <c r="G8" s="31"/>
      <c r="H8" s="31"/>
    </row>
    <row r="9" spans="2:10" s="97" customFormat="1" ht="15" customHeight="1" x14ac:dyDescent="0.25">
      <c r="B9" s="96" t="s">
        <v>234</v>
      </c>
      <c r="C9" s="96"/>
    </row>
    <row r="10" spans="2:10" ht="30" customHeight="1" x14ac:dyDescent="0.25">
      <c r="B10" s="104" t="s">
        <v>278</v>
      </c>
      <c r="D10" s="100" t="s">
        <v>55</v>
      </c>
      <c r="E10" s="102" t="s">
        <v>55</v>
      </c>
    </row>
    <row r="11" spans="2:10" s="97" customFormat="1" ht="15" customHeight="1" x14ac:dyDescent="0.25">
      <c r="B11" s="96" t="s">
        <v>235</v>
      </c>
      <c r="C11" s="96"/>
    </row>
    <row r="12" spans="2:10" ht="30" customHeight="1" x14ac:dyDescent="0.25">
      <c r="B12" s="104" t="s">
        <v>221</v>
      </c>
    </row>
    <row r="13" spans="2:10" s="97" customFormat="1" ht="15" customHeight="1" x14ac:dyDescent="0.25">
      <c r="B13" s="96" t="s">
        <v>236</v>
      </c>
      <c r="C13" s="96"/>
    </row>
    <row r="14" spans="2:10" ht="30" customHeight="1" x14ac:dyDescent="0.25">
      <c r="B14" s="104" t="s">
        <v>222</v>
      </c>
      <c r="C14" s="96" t="s">
        <v>246</v>
      </c>
      <c r="D14" s="104" t="s">
        <v>120</v>
      </c>
    </row>
    <row r="15" spans="2:10" s="97" customFormat="1" ht="15" customHeight="1" thickBot="1" x14ac:dyDescent="0.3">
      <c r="B15" s="96" t="s">
        <v>237</v>
      </c>
      <c r="D15" s="96" t="s">
        <v>245</v>
      </c>
      <c r="I15" s="96"/>
    </row>
    <row r="16" spans="2:10" ht="30" customHeight="1" thickBot="1" x14ac:dyDescent="0.3">
      <c r="B16" s="105" t="s">
        <v>279</v>
      </c>
      <c r="C16" s="96" t="s">
        <v>244</v>
      </c>
      <c r="D16" s="104" t="s">
        <v>119</v>
      </c>
      <c r="J16" s="11"/>
    </row>
    <row r="17" spans="2:10" ht="15" customHeight="1" x14ac:dyDescent="0.25">
      <c r="B17" s="96" t="s">
        <v>238</v>
      </c>
      <c r="C17" s="97"/>
      <c r="D17" s="97"/>
      <c r="E17" s="97"/>
      <c r="F17" s="97"/>
      <c r="G17" s="97"/>
      <c r="H17" s="97"/>
      <c r="I17" s="97"/>
      <c r="J17" s="11"/>
    </row>
    <row r="18" spans="2:10" ht="30" customHeight="1" x14ac:dyDescent="0.25">
      <c r="B18" s="106" t="s">
        <v>224</v>
      </c>
      <c r="C18" s="96" t="s">
        <v>247</v>
      </c>
      <c r="D18" s="106" t="s">
        <v>223</v>
      </c>
      <c r="J18" s="11"/>
    </row>
    <row r="19" spans="2:10" ht="15" customHeight="1" x14ac:dyDescent="0.25">
      <c r="B19" s="96" t="s">
        <v>239</v>
      </c>
      <c r="C19" s="97"/>
      <c r="D19" s="97"/>
      <c r="E19" s="97"/>
      <c r="F19" s="97"/>
      <c r="I19" s="11"/>
      <c r="J19" s="11"/>
    </row>
    <row r="20" spans="2:10" ht="30" customHeight="1" x14ac:dyDescent="0.25">
      <c r="B20" s="106" t="s">
        <v>280</v>
      </c>
      <c r="D20" s="99" t="s">
        <v>58</v>
      </c>
      <c r="E20" s="102" t="s">
        <v>252</v>
      </c>
      <c r="I20" s="11"/>
      <c r="J20" s="11"/>
    </row>
    <row r="21" spans="2:10" ht="15" customHeight="1" x14ac:dyDescent="0.25">
      <c r="B21" s="96" t="s">
        <v>240</v>
      </c>
      <c r="C21" s="97"/>
      <c r="D21" s="97"/>
      <c r="E21" s="97"/>
      <c r="F21" s="97"/>
      <c r="G21" s="97"/>
      <c r="H21" s="97"/>
      <c r="I21" s="97"/>
      <c r="J21" s="11"/>
    </row>
    <row r="22" spans="2:10" ht="30" customHeight="1" x14ac:dyDescent="0.25">
      <c r="B22" s="106" t="s">
        <v>281</v>
      </c>
      <c r="D22" s="99" t="s">
        <v>253</v>
      </c>
      <c r="E22" s="102" t="s">
        <v>254</v>
      </c>
      <c r="I22" s="11"/>
    </row>
    <row r="23" spans="2:10" ht="15" customHeight="1" x14ac:dyDescent="0.25">
      <c r="B23" s="96" t="s">
        <v>241</v>
      </c>
      <c r="E23" s="97"/>
      <c r="F23" s="97"/>
      <c r="G23" s="97"/>
      <c r="H23" s="97"/>
      <c r="I23" s="97"/>
      <c r="J23" s="11"/>
    </row>
    <row r="24" spans="2:10" ht="30" customHeight="1" x14ac:dyDescent="0.25">
      <c r="B24" s="106" t="s">
        <v>225</v>
      </c>
      <c r="D24" s="102" t="s">
        <v>255</v>
      </c>
      <c r="I24" s="11"/>
    </row>
    <row r="25" spans="2:10" ht="15" customHeight="1" x14ac:dyDescent="0.25">
      <c r="B25" s="96" t="s">
        <v>242</v>
      </c>
      <c r="E25" s="97"/>
      <c r="J25" s="11"/>
    </row>
    <row r="26" spans="2:10" ht="30" customHeight="1" x14ac:dyDescent="0.25">
      <c r="B26" s="106" t="s">
        <v>282</v>
      </c>
      <c r="D26" s="99" t="s">
        <v>256</v>
      </c>
      <c r="E26" s="102" t="s">
        <v>274</v>
      </c>
    </row>
    <row r="27" spans="2:10" ht="15" customHeight="1" x14ac:dyDescent="0.25">
      <c r="B27" s="96" t="s">
        <v>243</v>
      </c>
      <c r="C27" s="97"/>
      <c r="D27" s="97"/>
      <c r="E27" s="97"/>
      <c r="F27" s="97"/>
      <c r="G27" s="97"/>
      <c r="H27" s="97"/>
      <c r="I27" s="97"/>
      <c r="J27" s="11"/>
    </row>
    <row r="28" spans="2:10" ht="30" customHeight="1" x14ac:dyDescent="0.25">
      <c r="B28" s="106" t="s">
        <v>283</v>
      </c>
      <c r="D28" s="102" t="s">
        <v>62</v>
      </c>
      <c r="I28" s="11"/>
    </row>
    <row r="29" spans="2:10" ht="30" customHeight="1" x14ac:dyDescent="0.25">
      <c r="J29" s="11"/>
    </row>
    <row r="30" spans="2:10" ht="30" customHeight="1" x14ac:dyDescent="0.25">
      <c r="J30" s="11"/>
    </row>
    <row r="31" spans="2:10" ht="30" customHeight="1" x14ac:dyDescent="0.25">
      <c r="J31" s="11"/>
    </row>
    <row r="32" spans="2:10" ht="30" customHeight="1" x14ac:dyDescent="0.25">
      <c r="J32" s="11"/>
    </row>
    <row r="33" spans="2:12" s="57" customFormat="1" ht="30" customHeight="1" x14ac:dyDescent="0.25">
      <c r="B33" s="14"/>
      <c r="C33" s="14"/>
      <c r="D33" s="11"/>
      <c r="E33" s="11"/>
      <c r="F33" s="11"/>
      <c r="G33" s="11"/>
      <c r="H33" s="11"/>
      <c r="I33" s="14"/>
      <c r="J33" s="11"/>
      <c r="K33" s="11"/>
      <c r="L33" s="11"/>
    </row>
    <row r="34" spans="2:12" ht="30" customHeight="1" x14ac:dyDescent="0.25">
      <c r="J34" s="11"/>
    </row>
    <row r="35" spans="2:12" s="31" customFormat="1" ht="30" customHeight="1" x14ac:dyDescent="0.25">
      <c r="B35" s="14"/>
      <c r="C35" s="14"/>
      <c r="D35" s="11"/>
      <c r="E35" s="11"/>
      <c r="F35" s="11"/>
      <c r="G35" s="11"/>
      <c r="H35" s="11"/>
      <c r="I35" s="14"/>
      <c r="J35" s="11"/>
      <c r="K35" s="11"/>
      <c r="L35" s="11"/>
    </row>
    <row r="36" spans="2:12" ht="30" customHeight="1" x14ac:dyDescent="0.25">
      <c r="J36" s="11"/>
    </row>
    <row r="37" spans="2:12" s="64" customFormat="1" ht="30" customHeight="1" x14ac:dyDescent="0.25">
      <c r="B37" s="14"/>
      <c r="C37" s="14"/>
      <c r="D37" s="11"/>
      <c r="E37" s="11"/>
      <c r="F37" s="11"/>
      <c r="G37" s="11"/>
      <c r="H37" s="11"/>
      <c r="I37" s="14"/>
      <c r="J37" s="11"/>
      <c r="K37" s="11"/>
      <c r="L37" s="11"/>
    </row>
    <row r="38" spans="2:12" ht="30" customHeight="1" x14ac:dyDescent="0.25">
      <c r="I38" s="98"/>
    </row>
    <row r="39" spans="2:12" ht="30" customHeight="1" x14ac:dyDescent="0.25">
      <c r="H39" s="64"/>
      <c r="I39" s="98"/>
      <c r="J39" s="11"/>
    </row>
  </sheetData>
  <pageMargins left="0.511811024" right="0.511811024" top="0.78740157499999996" bottom="0.78740157499999996" header="0.31496062000000002" footer="0.31496062000000002"/>
  <pageSetup paperSize="9" scale="5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87A-12AC-4EFC-8CA2-01CE564CBF70}">
  <sheetPr>
    <tabColor rgb="FFFFC000"/>
    <pageSetUpPr autoPageBreaks="0"/>
  </sheetPr>
  <dimension ref="B1:X22"/>
  <sheetViews>
    <sheetView zoomScale="85" zoomScaleNormal="85" zoomScaleSheetLayoutView="100" workbookViewId="0">
      <pane ySplit="2" topLeftCell="A3" activePane="bottomLeft" state="frozen"/>
      <selection pane="bottomLeft" activeCell="G3" sqref="G3"/>
    </sheetView>
  </sheetViews>
  <sheetFormatPr defaultRowHeight="35.1" customHeight="1" x14ac:dyDescent="0.25"/>
  <cols>
    <col min="1" max="1" width="2.28515625" style="11" customWidth="1"/>
    <col min="2" max="2" width="13.7109375" style="12" customWidth="1"/>
    <col min="3" max="3" width="13.7109375" style="13" customWidth="1"/>
    <col min="4" max="4" width="7.140625" style="14" customWidth="1"/>
    <col min="5" max="13" width="18.7109375" style="11" customWidth="1"/>
    <col min="14" max="14" width="13.140625" style="11" customWidth="1"/>
    <col min="15" max="15" width="20.7109375" style="31" customWidth="1"/>
    <col min="16" max="17" width="4.85546875" style="11" customWidth="1"/>
    <col min="18" max="26" width="18.7109375" style="11" customWidth="1"/>
    <col min="27" max="16384" width="9.140625" style="11"/>
  </cols>
  <sheetData>
    <row r="1" spans="2:24" s="15" customFormat="1" ht="17.45" customHeight="1" x14ac:dyDescent="0.25">
      <c r="B1" s="23" t="s">
        <v>16</v>
      </c>
      <c r="C1" s="24"/>
      <c r="D1" s="25"/>
      <c r="E1" s="155" t="s">
        <v>3</v>
      </c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2:24" s="16" customFormat="1" ht="17.45" customHeight="1" x14ac:dyDescent="0.25">
      <c r="B2" s="26" t="s">
        <v>1</v>
      </c>
      <c r="C2" s="53" t="s">
        <v>4</v>
      </c>
      <c r="D2" s="53" t="s">
        <v>2</v>
      </c>
      <c r="E2" s="157" t="s">
        <v>0</v>
      </c>
      <c r="F2" s="157"/>
      <c r="G2" s="157"/>
      <c r="H2" s="53" t="s">
        <v>35</v>
      </c>
      <c r="I2" s="157" t="s">
        <v>5</v>
      </c>
      <c r="J2" s="157"/>
      <c r="K2" s="157"/>
      <c r="L2" s="157"/>
      <c r="M2" s="157"/>
      <c r="N2" s="27" t="s">
        <v>6</v>
      </c>
      <c r="O2" s="30" t="s">
        <v>20</v>
      </c>
      <c r="R2" s="26" t="s">
        <v>287</v>
      </c>
    </row>
    <row r="3" spans="2:24" ht="35.1" customHeight="1" x14ac:dyDescent="0.25">
      <c r="B3" s="28">
        <v>45988</v>
      </c>
      <c r="C3" s="36">
        <f t="shared" ref="C3:C18" si="0">B3</f>
        <v>45988</v>
      </c>
      <c r="D3" s="52" t="s">
        <v>8</v>
      </c>
      <c r="I3" s="141" t="s">
        <v>343</v>
      </c>
      <c r="J3" s="158"/>
      <c r="K3" s="142"/>
      <c r="L3" s="82"/>
      <c r="M3" s="82"/>
      <c r="N3" s="82"/>
      <c r="O3" s="58" t="s">
        <v>67</v>
      </c>
    </row>
    <row r="4" spans="2:24" ht="35.1" customHeight="1" x14ac:dyDescent="0.25">
      <c r="B4" s="37">
        <f>B3+1</f>
        <v>45989</v>
      </c>
      <c r="C4" s="36">
        <f t="shared" si="0"/>
        <v>45989</v>
      </c>
      <c r="D4" s="52" t="s">
        <v>68</v>
      </c>
      <c r="E4" s="147" t="s">
        <v>226</v>
      </c>
      <c r="F4" s="148"/>
      <c r="G4" s="149"/>
      <c r="H4" s="55" t="s">
        <v>36</v>
      </c>
      <c r="I4" s="140" t="s">
        <v>294</v>
      </c>
      <c r="J4" s="140"/>
      <c r="K4" s="140"/>
      <c r="L4" s="141" t="s">
        <v>295</v>
      </c>
      <c r="M4" s="142"/>
      <c r="N4" s="82"/>
      <c r="O4" s="58" t="s">
        <v>60</v>
      </c>
    </row>
    <row r="5" spans="2:24" ht="35.1" customHeight="1" x14ac:dyDescent="0.25">
      <c r="B5" s="37">
        <f t="shared" ref="B5:B18" si="1">B4+1</f>
        <v>45990</v>
      </c>
      <c r="C5" s="36">
        <f t="shared" si="0"/>
        <v>45990</v>
      </c>
      <c r="D5" s="52" t="s">
        <v>69</v>
      </c>
      <c r="E5" s="80" t="s">
        <v>325</v>
      </c>
      <c r="F5" s="81" t="s">
        <v>148</v>
      </c>
      <c r="G5" s="81" t="s">
        <v>149</v>
      </c>
      <c r="H5" s="83" t="s">
        <v>36</v>
      </c>
      <c r="I5" s="151" t="s">
        <v>150</v>
      </c>
      <c r="J5" s="152"/>
      <c r="K5" s="147" t="s">
        <v>59</v>
      </c>
      <c r="L5" s="148"/>
      <c r="M5" s="149"/>
      <c r="N5" s="82"/>
      <c r="O5" s="59" t="s">
        <v>59</v>
      </c>
      <c r="P5" s="143" t="s">
        <v>218</v>
      </c>
      <c r="R5" s="129" t="s">
        <v>166</v>
      </c>
      <c r="S5" s="139" t="s">
        <v>156</v>
      </c>
      <c r="T5" s="139"/>
      <c r="U5" s="139"/>
    </row>
    <row r="6" spans="2:24" ht="35.1" customHeight="1" x14ac:dyDescent="0.25">
      <c r="B6" s="37">
        <f>B5+1</f>
        <v>45991</v>
      </c>
      <c r="C6" s="36">
        <f t="shared" si="0"/>
        <v>45991</v>
      </c>
      <c r="D6" s="52" t="s">
        <v>70</v>
      </c>
      <c r="E6" s="159" t="s">
        <v>151</v>
      </c>
      <c r="F6" s="159"/>
      <c r="G6" s="159"/>
      <c r="H6" s="83" t="s">
        <v>36</v>
      </c>
      <c r="I6" s="160" t="s">
        <v>227</v>
      </c>
      <c r="J6" s="161"/>
      <c r="K6" s="81" t="s">
        <v>152</v>
      </c>
      <c r="L6" s="81" t="s">
        <v>153</v>
      </c>
      <c r="M6" s="82" t="s">
        <v>61</v>
      </c>
      <c r="N6" s="82"/>
      <c r="O6" s="59" t="s">
        <v>61</v>
      </c>
      <c r="P6" s="143"/>
    </row>
    <row r="7" spans="2:24" ht="35.1" customHeight="1" x14ac:dyDescent="0.25">
      <c r="B7" s="37">
        <f t="shared" si="1"/>
        <v>45992</v>
      </c>
      <c r="C7" s="36">
        <f t="shared" si="0"/>
        <v>45992</v>
      </c>
      <c r="D7" s="52" t="s">
        <v>71</v>
      </c>
      <c r="E7" s="162" t="s">
        <v>127</v>
      </c>
      <c r="F7" s="162"/>
      <c r="G7" s="139" t="s">
        <v>142</v>
      </c>
      <c r="H7" s="139"/>
      <c r="I7" s="139"/>
      <c r="J7" s="139"/>
      <c r="K7" s="139"/>
      <c r="L7" s="162" t="s">
        <v>128</v>
      </c>
      <c r="M7" s="162"/>
      <c r="N7" s="82"/>
      <c r="O7" s="59" t="s">
        <v>61</v>
      </c>
      <c r="P7" s="143"/>
      <c r="R7" s="121" t="s">
        <v>167</v>
      </c>
      <c r="S7" s="81" t="s">
        <v>290</v>
      </c>
      <c r="T7" s="139" t="s">
        <v>289</v>
      </c>
      <c r="U7" s="139"/>
      <c r="V7" s="139"/>
      <c r="W7" s="81" t="s">
        <v>291</v>
      </c>
      <c r="X7" s="81" t="s">
        <v>153</v>
      </c>
    </row>
    <row r="8" spans="2:24" ht="35.1" customHeight="1" x14ac:dyDescent="0.25">
      <c r="B8" s="37">
        <f t="shared" si="1"/>
        <v>45993</v>
      </c>
      <c r="C8" s="36">
        <f t="shared" si="0"/>
        <v>45993</v>
      </c>
      <c r="D8" s="52" t="s">
        <v>72</v>
      </c>
      <c r="E8" s="147" t="s">
        <v>229</v>
      </c>
      <c r="F8" s="148"/>
      <c r="G8" s="149"/>
      <c r="H8" s="92" t="s">
        <v>36</v>
      </c>
      <c r="I8" s="163" t="s">
        <v>228</v>
      </c>
      <c r="J8" s="164"/>
      <c r="K8" s="164"/>
      <c r="L8" s="81" t="s">
        <v>154</v>
      </c>
      <c r="M8" s="81" t="s">
        <v>155</v>
      </c>
      <c r="N8" s="82"/>
      <c r="O8" s="59" t="s">
        <v>59</v>
      </c>
      <c r="P8" s="143"/>
    </row>
    <row r="9" spans="2:24" ht="35.1" customHeight="1" thickBot="1" x14ac:dyDescent="0.3">
      <c r="B9" s="84">
        <f t="shared" si="1"/>
        <v>45994</v>
      </c>
      <c r="C9" s="85">
        <f t="shared" si="0"/>
        <v>45994</v>
      </c>
      <c r="D9" s="86" t="s">
        <v>73</v>
      </c>
      <c r="E9" s="139" t="s">
        <v>156</v>
      </c>
      <c r="F9" s="139"/>
      <c r="G9" s="139"/>
      <c r="H9" s="92" t="s">
        <v>36</v>
      </c>
      <c r="I9" s="82" t="s">
        <v>59</v>
      </c>
      <c r="J9" s="146" t="s">
        <v>157</v>
      </c>
      <c r="K9" s="146"/>
      <c r="L9" s="93" t="s">
        <v>158</v>
      </c>
      <c r="M9" s="93" t="s">
        <v>159</v>
      </c>
      <c r="N9" s="91"/>
      <c r="O9" s="59" t="s">
        <v>60</v>
      </c>
      <c r="P9" s="143"/>
      <c r="R9" s="121" t="s">
        <v>101</v>
      </c>
      <c r="S9" s="144" t="s">
        <v>183</v>
      </c>
      <c r="T9" s="144"/>
      <c r="U9" s="145"/>
      <c r="V9" s="81" t="s">
        <v>292</v>
      </c>
      <c r="W9" s="82" t="s">
        <v>293</v>
      </c>
    </row>
    <row r="10" spans="2:24" ht="35.1" customHeight="1" x14ac:dyDescent="0.25">
      <c r="B10" s="110">
        <f t="shared" si="1"/>
        <v>45995</v>
      </c>
      <c r="C10" s="111">
        <f t="shared" si="0"/>
        <v>45995</v>
      </c>
      <c r="D10" s="112" t="s">
        <v>74</v>
      </c>
      <c r="E10" s="113" t="s">
        <v>324</v>
      </c>
      <c r="F10" s="174" t="s">
        <v>216</v>
      </c>
      <c r="G10" s="174"/>
      <c r="H10" s="114" t="s">
        <v>36</v>
      </c>
      <c r="I10" s="113" t="s">
        <v>214</v>
      </c>
      <c r="J10" s="115" t="s">
        <v>60</v>
      </c>
      <c r="K10" s="116" t="s">
        <v>148</v>
      </c>
      <c r="L10" s="116" t="s">
        <v>149</v>
      </c>
      <c r="M10" s="115" t="s">
        <v>101</v>
      </c>
      <c r="N10" s="115"/>
      <c r="O10" s="94" t="s">
        <v>101</v>
      </c>
      <c r="P10" s="171" t="s">
        <v>217</v>
      </c>
    </row>
    <row r="11" spans="2:24" ht="35.1" customHeight="1" x14ac:dyDescent="0.25">
      <c r="B11" s="117">
        <f t="shared" si="1"/>
        <v>45996</v>
      </c>
      <c r="C11" s="118">
        <f t="shared" si="0"/>
        <v>45996</v>
      </c>
      <c r="D11" s="119" t="s">
        <v>75</v>
      </c>
      <c r="E11" s="168" t="s">
        <v>145</v>
      </c>
      <c r="F11" s="168"/>
      <c r="G11" s="168"/>
      <c r="H11" s="168"/>
      <c r="I11" s="168"/>
      <c r="J11" s="168"/>
      <c r="K11" s="121" t="s">
        <v>158</v>
      </c>
      <c r="L11" s="121" t="s">
        <v>159</v>
      </c>
      <c r="M11" s="120" t="s">
        <v>60</v>
      </c>
      <c r="N11" s="120"/>
      <c r="O11" s="90" t="s">
        <v>60</v>
      </c>
      <c r="P11" s="172"/>
    </row>
    <row r="12" spans="2:24" ht="35.1" customHeight="1" x14ac:dyDescent="0.25">
      <c r="B12" s="117">
        <f t="shared" si="1"/>
        <v>45997</v>
      </c>
      <c r="C12" s="118">
        <f t="shared" si="0"/>
        <v>45997</v>
      </c>
      <c r="D12" s="119" t="s">
        <v>76</v>
      </c>
      <c r="E12" s="121" t="s">
        <v>129</v>
      </c>
      <c r="F12" s="121" t="s">
        <v>130</v>
      </c>
      <c r="G12" s="121" t="s">
        <v>131</v>
      </c>
      <c r="H12" s="122" t="s">
        <v>36</v>
      </c>
      <c r="I12" s="168" t="s">
        <v>288</v>
      </c>
      <c r="J12" s="168"/>
      <c r="K12" s="168"/>
      <c r="L12" s="168" t="s">
        <v>51</v>
      </c>
      <c r="M12" s="168"/>
      <c r="N12" s="120"/>
      <c r="O12" s="90" t="s">
        <v>51</v>
      </c>
      <c r="P12" s="172"/>
    </row>
    <row r="13" spans="2:24" ht="35.1" customHeight="1" x14ac:dyDescent="0.25">
      <c r="B13" s="117">
        <f>B12+1</f>
        <v>45998</v>
      </c>
      <c r="C13" s="118">
        <f t="shared" si="0"/>
        <v>45998</v>
      </c>
      <c r="D13" s="119" t="s">
        <v>77</v>
      </c>
      <c r="E13" s="121" t="s">
        <v>132</v>
      </c>
      <c r="F13" s="121" t="s">
        <v>133</v>
      </c>
      <c r="G13" s="121" t="s">
        <v>134</v>
      </c>
      <c r="H13" s="122" t="s">
        <v>36</v>
      </c>
      <c r="I13" s="168" t="s">
        <v>209</v>
      </c>
      <c r="J13" s="168"/>
      <c r="K13" s="168"/>
      <c r="L13" s="168"/>
      <c r="M13" s="168"/>
      <c r="N13" s="120"/>
      <c r="O13" s="90" t="s">
        <v>94</v>
      </c>
      <c r="P13" s="172"/>
    </row>
    <row r="14" spans="2:24" ht="35.1" customHeight="1" x14ac:dyDescent="0.25">
      <c r="B14" s="117">
        <f t="shared" si="1"/>
        <v>45999</v>
      </c>
      <c r="C14" s="118">
        <f t="shared" si="0"/>
        <v>45999</v>
      </c>
      <c r="D14" s="119" t="s">
        <v>78</v>
      </c>
      <c r="E14" s="121" t="s">
        <v>135</v>
      </c>
      <c r="F14" s="121" t="s">
        <v>136</v>
      </c>
      <c r="G14" s="121" t="s">
        <v>137</v>
      </c>
      <c r="H14" s="122" t="s">
        <v>36</v>
      </c>
      <c r="I14" s="168" t="s">
        <v>144</v>
      </c>
      <c r="J14" s="168"/>
      <c r="K14" s="168"/>
      <c r="L14" s="168" t="s">
        <v>48</v>
      </c>
      <c r="M14" s="168"/>
      <c r="N14" s="120"/>
      <c r="O14" s="90" t="s">
        <v>48</v>
      </c>
      <c r="P14" s="172"/>
    </row>
    <row r="15" spans="2:24" s="57" customFormat="1" ht="35.1" customHeight="1" x14ac:dyDescent="0.25">
      <c r="B15" s="117">
        <f t="shared" si="1"/>
        <v>46000</v>
      </c>
      <c r="C15" s="118">
        <f t="shared" si="0"/>
        <v>46000</v>
      </c>
      <c r="D15" s="119" t="s">
        <v>79</v>
      </c>
      <c r="E15" s="121" t="s">
        <v>138</v>
      </c>
      <c r="F15" s="168" t="s">
        <v>179</v>
      </c>
      <c r="G15" s="168"/>
      <c r="H15" s="122" t="s">
        <v>36</v>
      </c>
      <c r="I15" s="121" t="s">
        <v>139</v>
      </c>
      <c r="J15" s="121" t="s">
        <v>140</v>
      </c>
      <c r="K15" s="168" t="s">
        <v>160</v>
      </c>
      <c r="L15" s="168"/>
      <c r="M15" s="168"/>
      <c r="N15" s="120"/>
      <c r="O15" s="90" t="s">
        <v>52</v>
      </c>
      <c r="P15" s="172"/>
      <c r="Q15" s="11"/>
      <c r="R15" s="121" t="s">
        <v>163</v>
      </c>
      <c r="S15" s="165" t="s">
        <v>182</v>
      </c>
      <c r="T15" s="166"/>
      <c r="U15" s="166"/>
      <c r="V15" s="167"/>
    </row>
    <row r="16" spans="2:24" ht="35.1" customHeight="1" x14ac:dyDescent="0.25">
      <c r="B16" s="117">
        <f>B15+1</f>
        <v>46001</v>
      </c>
      <c r="C16" s="118">
        <f t="shared" si="0"/>
        <v>46001</v>
      </c>
      <c r="D16" s="119" t="s">
        <v>87</v>
      </c>
      <c r="E16" s="121" t="s">
        <v>141</v>
      </c>
      <c r="F16" s="153" t="s">
        <v>143</v>
      </c>
      <c r="G16" s="154"/>
      <c r="H16" s="122" t="s">
        <v>36</v>
      </c>
      <c r="I16" s="123" t="s">
        <v>146</v>
      </c>
      <c r="J16" s="123" t="s">
        <v>147</v>
      </c>
      <c r="K16" s="123" t="s">
        <v>285</v>
      </c>
      <c r="L16" s="123" t="s">
        <v>284</v>
      </c>
      <c r="M16" s="123" t="s">
        <v>286</v>
      </c>
      <c r="N16" s="120"/>
      <c r="O16" s="90" t="s">
        <v>60</v>
      </c>
      <c r="P16" s="172"/>
    </row>
    <row r="17" spans="2:18" s="31" customFormat="1" ht="35.1" customHeight="1" thickBot="1" x14ac:dyDescent="0.3">
      <c r="B17" s="124">
        <f t="shared" si="1"/>
        <v>46002</v>
      </c>
      <c r="C17" s="125">
        <f t="shared" si="0"/>
        <v>46002</v>
      </c>
      <c r="D17" s="126" t="s">
        <v>88</v>
      </c>
      <c r="E17" s="127"/>
      <c r="F17" s="169" t="s">
        <v>215</v>
      </c>
      <c r="G17" s="169"/>
      <c r="H17" s="128" t="s">
        <v>36</v>
      </c>
      <c r="I17" s="170" t="s">
        <v>202</v>
      </c>
      <c r="J17" s="170"/>
      <c r="K17" s="170" t="s">
        <v>201</v>
      </c>
      <c r="L17" s="170"/>
      <c r="M17" s="170"/>
      <c r="N17" s="127"/>
      <c r="O17" s="95" t="s">
        <v>67</v>
      </c>
      <c r="P17" s="173"/>
      <c r="Q17" s="11"/>
      <c r="R17" s="11"/>
    </row>
    <row r="18" spans="2:18" ht="35.1" customHeight="1" x14ac:dyDescent="0.25">
      <c r="B18" s="87">
        <f t="shared" si="1"/>
        <v>46003</v>
      </c>
      <c r="C18" s="88">
        <f t="shared" si="0"/>
        <v>46003</v>
      </c>
      <c r="D18" s="89" t="s">
        <v>89</v>
      </c>
      <c r="E18" s="120"/>
      <c r="F18" s="120"/>
      <c r="G18" s="150" t="s">
        <v>344</v>
      </c>
      <c r="H18" s="150"/>
      <c r="I18" s="150"/>
    </row>
    <row r="19" spans="2:18" ht="35.1" customHeight="1" x14ac:dyDescent="0.25">
      <c r="B19" s="11"/>
      <c r="C19" s="11"/>
      <c r="D19" s="11"/>
      <c r="O19" s="11"/>
    </row>
    <row r="20" spans="2:18" ht="35.1" customHeight="1" x14ac:dyDescent="0.25">
      <c r="B20" s="11"/>
      <c r="C20" s="11"/>
      <c r="D20" s="11"/>
      <c r="O20" s="11"/>
    </row>
    <row r="21" spans="2:18" ht="35.1" customHeight="1" x14ac:dyDescent="0.25">
      <c r="B21" s="11"/>
      <c r="C21" s="11"/>
      <c r="D21" s="11"/>
      <c r="O21" s="11"/>
    </row>
    <row r="22" spans="2:18" ht="35.1" customHeight="1" x14ac:dyDescent="0.25">
      <c r="B22" s="11"/>
      <c r="C22" s="11"/>
      <c r="D22" s="11"/>
      <c r="O22" s="11"/>
    </row>
  </sheetData>
  <mergeCells count="38">
    <mergeCell ref="S15:V15"/>
    <mergeCell ref="L14:M14"/>
    <mergeCell ref="F15:G15"/>
    <mergeCell ref="K15:M15"/>
    <mergeCell ref="F17:G17"/>
    <mergeCell ref="I17:J17"/>
    <mergeCell ref="K17:M17"/>
    <mergeCell ref="P10:P17"/>
    <mergeCell ref="E11:J11"/>
    <mergeCell ref="I12:K12"/>
    <mergeCell ref="L12:M12"/>
    <mergeCell ref="I13:M13"/>
    <mergeCell ref="I14:K14"/>
    <mergeCell ref="F10:G10"/>
    <mergeCell ref="E1:O1"/>
    <mergeCell ref="E2:G2"/>
    <mergeCell ref="I2:M2"/>
    <mergeCell ref="I3:K3"/>
    <mergeCell ref="E6:G6"/>
    <mergeCell ref="I6:J6"/>
    <mergeCell ref="E9:G9"/>
    <mergeCell ref="J9:K9"/>
    <mergeCell ref="E4:G4"/>
    <mergeCell ref="G18:I18"/>
    <mergeCell ref="I5:J5"/>
    <mergeCell ref="K5:M5"/>
    <mergeCell ref="F16:G16"/>
    <mergeCell ref="E7:F7"/>
    <mergeCell ref="G7:K7"/>
    <mergeCell ref="L7:M7"/>
    <mergeCell ref="E8:G8"/>
    <mergeCell ref="I8:K8"/>
    <mergeCell ref="T7:V7"/>
    <mergeCell ref="I4:K4"/>
    <mergeCell ref="L4:M4"/>
    <mergeCell ref="S5:U5"/>
    <mergeCell ref="P5:P9"/>
    <mergeCell ref="S9:U9"/>
  </mergeCells>
  <pageMargins left="0.511811024" right="0.511811024" top="0.78740157499999996" bottom="0.78740157499999996" header="0.31496062000000002" footer="0.31496062000000002"/>
  <pageSetup paperSize="9" scale="5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3"/>
  </sheetPr>
  <dimension ref="A1:F30"/>
  <sheetViews>
    <sheetView workbookViewId="0">
      <selection activeCell="C7" sqref="C7"/>
    </sheetView>
  </sheetViews>
  <sheetFormatPr defaultRowHeight="24" customHeight="1" x14ac:dyDescent="0.25"/>
  <cols>
    <col min="1" max="2" width="20.85546875" style="71" customWidth="1"/>
    <col min="3" max="3" width="127.28515625" style="20" customWidth="1"/>
    <col min="4" max="6" width="11.42578125" style="61" customWidth="1"/>
    <col min="7" max="16384" width="9.140625" style="17"/>
  </cols>
  <sheetData>
    <row r="1" spans="1:6" s="21" customFormat="1" ht="24" customHeight="1" x14ac:dyDescent="0.25">
      <c r="A1" s="68" t="s">
        <v>122</v>
      </c>
      <c r="B1" s="68"/>
      <c r="C1" s="62" t="s">
        <v>12</v>
      </c>
      <c r="D1" s="72" t="s">
        <v>172</v>
      </c>
      <c r="E1" s="72" t="s">
        <v>173</v>
      </c>
      <c r="F1" s="72"/>
    </row>
    <row r="2" spans="1:6" s="66" customFormat="1" ht="24" customHeight="1" x14ac:dyDescent="0.25">
      <c r="A2" s="70" t="s">
        <v>60</v>
      </c>
      <c r="B2" s="69" t="s">
        <v>119</v>
      </c>
      <c r="C2" s="65" t="s">
        <v>126</v>
      </c>
      <c r="D2" s="73"/>
      <c r="E2" s="73"/>
      <c r="F2" s="73"/>
    </row>
    <row r="3" spans="1:6" s="66" customFormat="1" ht="24" customHeight="1" x14ac:dyDescent="0.25">
      <c r="A3" s="69" t="s">
        <v>119</v>
      </c>
      <c r="B3" s="69" t="s">
        <v>120</v>
      </c>
      <c r="C3" s="65" t="s">
        <v>125</v>
      </c>
      <c r="D3" s="73"/>
      <c r="E3" s="73"/>
      <c r="F3" s="73"/>
    </row>
    <row r="4" spans="1:6" s="66" customFormat="1" ht="24" customHeight="1" x14ac:dyDescent="0.25">
      <c r="A4" s="69" t="s">
        <v>120</v>
      </c>
      <c r="B4" s="75" t="s">
        <v>123</v>
      </c>
      <c r="C4" s="63" t="s">
        <v>176</v>
      </c>
      <c r="D4" s="73"/>
      <c r="E4" s="73"/>
      <c r="F4" s="73"/>
    </row>
    <row r="5" spans="1:6" s="9" customFormat="1" ht="24" customHeight="1" x14ac:dyDescent="0.25">
      <c r="A5" s="67" t="s">
        <v>123</v>
      </c>
      <c r="B5" s="67" t="s">
        <v>124</v>
      </c>
      <c r="C5" s="63" t="s">
        <v>175</v>
      </c>
      <c r="D5" s="74"/>
      <c r="E5" s="74"/>
      <c r="F5" s="74"/>
    </row>
    <row r="6" spans="1:6" s="9" customFormat="1" ht="24" customHeight="1" x14ac:dyDescent="0.25">
      <c r="A6" s="67" t="s">
        <v>124</v>
      </c>
      <c r="B6" s="67" t="s">
        <v>51</v>
      </c>
      <c r="C6" s="63" t="s">
        <v>161</v>
      </c>
      <c r="D6" s="74"/>
      <c r="E6" s="74"/>
      <c r="F6" s="74"/>
    </row>
    <row r="7" spans="1:6" s="9" customFormat="1" ht="24" customHeight="1" x14ac:dyDescent="0.25">
      <c r="A7" s="175" t="s">
        <v>51</v>
      </c>
      <c r="B7" s="176"/>
      <c r="C7" s="63" t="s">
        <v>169</v>
      </c>
      <c r="D7" s="74"/>
      <c r="E7" s="74"/>
      <c r="F7" s="74"/>
    </row>
    <row r="8" spans="1:6" s="9" customFormat="1" ht="24" customHeight="1" x14ac:dyDescent="0.25">
      <c r="A8" s="67" t="s">
        <v>51</v>
      </c>
      <c r="B8" s="70" t="s">
        <v>52</v>
      </c>
      <c r="C8" s="63" t="s">
        <v>170</v>
      </c>
      <c r="D8" s="74"/>
      <c r="E8" s="74"/>
      <c r="F8" s="74"/>
    </row>
    <row r="9" spans="1:6" s="9" customFormat="1" ht="24" customHeight="1" x14ac:dyDescent="0.25">
      <c r="A9" s="175" t="s">
        <v>52</v>
      </c>
      <c r="B9" s="176"/>
      <c r="C9" s="63" t="s">
        <v>171</v>
      </c>
      <c r="D9" s="74"/>
      <c r="E9" s="74"/>
      <c r="F9" s="74"/>
    </row>
    <row r="10" spans="1:6" s="9" customFormat="1" ht="24" customHeight="1" x14ac:dyDescent="0.25">
      <c r="A10" s="70" t="s">
        <v>52</v>
      </c>
      <c r="B10" s="70" t="s">
        <v>162</v>
      </c>
      <c r="C10" s="63" t="s">
        <v>174</v>
      </c>
      <c r="D10" s="74"/>
      <c r="E10" s="74"/>
      <c r="F10" s="74"/>
    </row>
    <row r="11" spans="1:6" s="9" customFormat="1" ht="24" customHeight="1" x14ac:dyDescent="0.25">
      <c r="A11" s="70" t="s">
        <v>162</v>
      </c>
      <c r="B11" s="70" t="s">
        <v>94</v>
      </c>
      <c r="C11" s="63" t="s">
        <v>177</v>
      </c>
      <c r="D11" s="74"/>
      <c r="E11" s="74"/>
      <c r="F11" s="74"/>
    </row>
    <row r="12" spans="1:6" s="9" customFormat="1" ht="24" customHeight="1" x14ac:dyDescent="0.25">
      <c r="A12" s="175" t="s">
        <v>94</v>
      </c>
      <c r="B12" s="176"/>
      <c r="C12" s="63" t="s">
        <v>178</v>
      </c>
      <c r="D12" s="74"/>
      <c r="E12" s="74"/>
      <c r="F12" s="74"/>
    </row>
    <row r="13" spans="1:6" s="9" customFormat="1" ht="24" customHeight="1" x14ac:dyDescent="0.25">
      <c r="A13" s="70" t="s">
        <v>162</v>
      </c>
      <c r="B13" s="70" t="s">
        <v>163</v>
      </c>
      <c r="C13" s="63" t="s">
        <v>181</v>
      </c>
      <c r="D13" s="74"/>
      <c r="E13" s="74"/>
      <c r="F13" s="74"/>
    </row>
    <row r="14" spans="1:6" s="9" customFormat="1" ht="24" customHeight="1" x14ac:dyDescent="0.25">
      <c r="A14" s="70" t="s">
        <v>163</v>
      </c>
      <c r="B14" s="70" t="s">
        <v>48</v>
      </c>
      <c r="C14" s="63" t="s">
        <v>180</v>
      </c>
      <c r="D14" s="74"/>
      <c r="E14" s="74"/>
      <c r="F14" s="74"/>
    </row>
    <row r="15" spans="1:6" s="9" customFormat="1" ht="24" customHeight="1" x14ac:dyDescent="0.25">
      <c r="A15" s="175" t="s">
        <v>48</v>
      </c>
      <c r="B15" s="176"/>
      <c r="C15" s="63" t="s">
        <v>184</v>
      </c>
      <c r="D15" s="74"/>
      <c r="E15" s="74"/>
      <c r="F15" s="74"/>
    </row>
    <row r="16" spans="1:6" s="9" customFormat="1" ht="24" customHeight="1" x14ac:dyDescent="0.25">
      <c r="A16" s="175" t="s">
        <v>164</v>
      </c>
      <c r="B16" s="176"/>
      <c r="C16" s="63"/>
      <c r="D16" s="74"/>
      <c r="E16" s="74"/>
      <c r="F16" s="74"/>
    </row>
    <row r="17" spans="1:6" s="9" customFormat="1" ht="24" customHeight="1" x14ac:dyDescent="0.25">
      <c r="A17" s="175" t="s">
        <v>60</v>
      </c>
      <c r="B17" s="176"/>
      <c r="C17" s="63"/>
      <c r="D17" s="74"/>
      <c r="E17" s="74"/>
      <c r="F17" s="74"/>
    </row>
    <row r="18" spans="1:6" s="9" customFormat="1" ht="24" customHeight="1" x14ac:dyDescent="0.25">
      <c r="A18" s="70" t="s">
        <v>60</v>
      </c>
      <c r="B18" s="70" t="s">
        <v>165</v>
      </c>
      <c r="C18" s="63"/>
      <c r="D18" s="74"/>
      <c r="E18" s="74"/>
      <c r="F18" s="74"/>
    </row>
    <row r="19" spans="1:6" s="9" customFormat="1" ht="24" customHeight="1" x14ac:dyDescent="0.25">
      <c r="A19" s="70" t="s">
        <v>165</v>
      </c>
      <c r="B19" s="70" t="s">
        <v>101</v>
      </c>
      <c r="C19" s="63"/>
      <c r="D19" s="74"/>
      <c r="E19" s="74"/>
      <c r="F19" s="74"/>
    </row>
    <row r="20" spans="1:6" s="9" customFormat="1" ht="24" customHeight="1" x14ac:dyDescent="0.25">
      <c r="A20" s="177" t="s">
        <v>101</v>
      </c>
      <c r="B20" s="178"/>
      <c r="C20" s="63" t="s">
        <v>168</v>
      </c>
      <c r="D20" s="74"/>
      <c r="E20" s="74"/>
      <c r="F20" s="74"/>
    </row>
    <row r="21" spans="1:6" s="9" customFormat="1" ht="24" customHeight="1" x14ac:dyDescent="0.25">
      <c r="A21" s="70" t="s">
        <v>101</v>
      </c>
      <c r="B21" s="70" t="s">
        <v>166</v>
      </c>
      <c r="C21" s="63"/>
      <c r="D21" s="74"/>
      <c r="E21" s="74"/>
      <c r="F21" s="74"/>
    </row>
    <row r="22" spans="1:6" s="9" customFormat="1" ht="24" customHeight="1" x14ac:dyDescent="0.25">
      <c r="A22" s="177" t="s">
        <v>166</v>
      </c>
      <c r="B22" s="178"/>
      <c r="C22" s="63"/>
      <c r="D22" s="74"/>
      <c r="E22" s="74"/>
      <c r="F22" s="74"/>
    </row>
    <row r="23" spans="1:6" s="9" customFormat="1" ht="24" customHeight="1" x14ac:dyDescent="0.25">
      <c r="A23" s="70" t="s">
        <v>166</v>
      </c>
      <c r="B23" s="70" t="s">
        <v>167</v>
      </c>
      <c r="C23" s="63"/>
      <c r="D23" s="74"/>
      <c r="E23" s="74"/>
      <c r="F23" s="74"/>
    </row>
    <row r="24" spans="1:6" s="9" customFormat="1" ht="24" customHeight="1" x14ac:dyDescent="0.25">
      <c r="A24" s="70" t="s">
        <v>167</v>
      </c>
      <c r="B24" s="70" t="s">
        <v>61</v>
      </c>
      <c r="C24" s="63"/>
      <c r="D24" s="74"/>
      <c r="E24" s="74"/>
      <c r="F24" s="74"/>
    </row>
    <row r="25" spans="1:6" s="9" customFormat="1" ht="24" customHeight="1" x14ac:dyDescent="0.25">
      <c r="A25" s="177" t="s">
        <v>61</v>
      </c>
      <c r="B25" s="178"/>
      <c r="C25" s="63"/>
      <c r="D25" s="74"/>
      <c r="E25" s="74"/>
      <c r="F25" s="74"/>
    </row>
    <row r="26" spans="1:6" s="9" customFormat="1" ht="24" customHeight="1" x14ac:dyDescent="0.25">
      <c r="A26" s="70" t="s">
        <v>61</v>
      </c>
      <c r="B26" s="70" t="s">
        <v>62</v>
      </c>
      <c r="C26" s="63"/>
      <c r="D26" s="74"/>
      <c r="E26" s="74"/>
      <c r="F26" s="74"/>
    </row>
    <row r="27" spans="1:6" s="9" customFormat="1" ht="24" customHeight="1" x14ac:dyDescent="0.25">
      <c r="A27" s="177" t="s">
        <v>62</v>
      </c>
      <c r="B27" s="178"/>
      <c r="C27" s="63"/>
      <c r="D27" s="74"/>
      <c r="E27" s="74"/>
      <c r="F27" s="74"/>
    </row>
    <row r="28" spans="1:6" s="9" customFormat="1" ht="24" customHeight="1" x14ac:dyDescent="0.25">
      <c r="A28" s="175" t="s">
        <v>164</v>
      </c>
      <c r="B28" s="176"/>
      <c r="C28" s="63"/>
      <c r="D28" s="74"/>
      <c r="E28" s="74"/>
      <c r="F28" s="74"/>
    </row>
    <row r="29" spans="1:6" s="9" customFormat="1" ht="24" customHeight="1" x14ac:dyDescent="0.25">
      <c r="A29" s="175" t="s">
        <v>60</v>
      </c>
      <c r="B29" s="176"/>
      <c r="C29" s="63"/>
      <c r="D29" s="74"/>
      <c r="E29" s="74"/>
      <c r="F29" s="74"/>
    </row>
    <row r="30" spans="1:6" s="9" customFormat="1" ht="24" customHeight="1" x14ac:dyDescent="0.25">
      <c r="A30" s="70"/>
      <c r="B30" s="70"/>
      <c r="C30" s="63"/>
      <c r="D30" s="74"/>
      <c r="E30" s="74"/>
      <c r="F30" s="74"/>
    </row>
  </sheetData>
  <mergeCells count="12">
    <mergeCell ref="A29:B29"/>
    <mergeCell ref="A20:B20"/>
    <mergeCell ref="A22:B22"/>
    <mergeCell ref="A25:B25"/>
    <mergeCell ref="A27:B27"/>
    <mergeCell ref="A28:B28"/>
    <mergeCell ref="A7:B7"/>
    <mergeCell ref="A9:B9"/>
    <mergeCell ref="A12:B12"/>
    <mergeCell ref="A15:B15"/>
    <mergeCell ref="A17:B17"/>
    <mergeCell ref="A16:B16"/>
  </mergeCells>
  <pageMargins left="0.511811024" right="0.511811024" top="0.78740157499999996" bottom="0.78740157499999996" header="0.31496062000000002" footer="0.3149606200000000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3"/>
  </sheetPr>
  <dimension ref="A1:E26"/>
  <sheetViews>
    <sheetView workbookViewId="0">
      <pane ySplit="1" topLeftCell="A2" activePane="bottomLeft" state="frozen"/>
      <selection pane="bottomLeft" activeCell="A2" sqref="A2:XFD2"/>
    </sheetView>
  </sheetViews>
  <sheetFormatPr defaultRowHeight="24" customHeight="1" x14ac:dyDescent="0.25"/>
  <cols>
    <col min="1" max="1" width="33" style="10" customWidth="1"/>
    <col min="2" max="3" width="24" style="61" customWidth="1"/>
    <col min="4" max="4" width="13.7109375" style="61" customWidth="1"/>
    <col min="5" max="5" width="102.7109375" style="20" bestFit="1" customWidth="1"/>
    <col min="6" max="16384" width="9.140625" style="17"/>
  </cols>
  <sheetData>
    <row r="1" spans="1:5" s="21" customFormat="1" ht="24" customHeight="1" x14ac:dyDescent="0.25">
      <c r="A1" s="18" t="s">
        <v>121</v>
      </c>
      <c r="B1" s="19" t="s">
        <v>108</v>
      </c>
      <c r="C1" s="19" t="s">
        <v>109</v>
      </c>
      <c r="D1" s="19" t="s">
        <v>11</v>
      </c>
      <c r="E1" s="19" t="s">
        <v>12</v>
      </c>
    </row>
    <row r="2" spans="1:5" s="9" customFormat="1" ht="24" customHeight="1" x14ac:dyDescent="0.25">
      <c r="A2" s="22" t="s">
        <v>341</v>
      </c>
      <c r="B2" s="60" t="s">
        <v>60</v>
      </c>
      <c r="C2" s="60" t="s">
        <v>112</v>
      </c>
      <c r="D2" s="60"/>
      <c r="E2" s="29" t="s">
        <v>340</v>
      </c>
    </row>
    <row r="3" spans="1:5" s="9" customFormat="1" ht="24" customHeight="1" x14ac:dyDescent="0.25">
      <c r="A3" s="22" t="s">
        <v>332</v>
      </c>
      <c r="B3" s="60" t="s">
        <v>60</v>
      </c>
      <c r="C3" s="60" t="s">
        <v>342</v>
      </c>
      <c r="D3" s="60"/>
      <c r="E3" s="29" t="s">
        <v>334</v>
      </c>
    </row>
    <row r="4" spans="1:5" s="9" customFormat="1" ht="24" customHeight="1" x14ac:dyDescent="0.25">
      <c r="A4" s="22"/>
      <c r="B4" s="60"/>
      <c r="C4" s="60"/>
      <c r="D4" s="60"/>
      <c r="E4" s="29"/>
    </row>
    <row r="5" spans="1:5" s="9" customFormat="1" ht="24" customHeight="1" x14ac:dyDescent="0.25">
      <c r="A5" s="22"/>
      <c r="B5" s="60"/>
      <c r="C5" s="60"/>
      <c r="D5" s="60"/>
      <c r="E5" s="29"/>
    </row>
    <row r="6" spans="1:5" s="9" customFormat="1" ht="24" customHeight="1" x14ac:dyDescent="0.25">
      <c r="A6" s="22"/>
      <c r="B6" s="60"/>
      <c r="C6" s="60"/>
      <c r="D6" s="60"/>
      <c r="E6" s="29"/>
    </row>
    <row r="7" spans="1:5" s="9" customFormat="1" ht="24" customHeight="1" x14ac:dyDescent="0.25">
      <c r="A7" s="22"/>
      <c r="B7" s="60"/>
      <c r="C7" s="60"/>
      <c r="D7" s="60"/>
      <c r="E7" s="29"/>
    </row>
    <row r="8" spans="1:5" s="9" customFormat="1" ht="24" customHeight="1" x14ac:dyDescent="0.25">
      <c r="A8" s="22"/>
      <c r="B8" s="60"/>
      <c r="C8" s="60"/>
      <c r="D8" s="60"/>
      <c r="E8" s="29"/>
    </row>
    <row r="9" spans="1:5" s="9" customFormat="1" ht="24" customHeight="1" x14ac:dyDescent="0.25">
      <c r="A9" s="22"/>
      <c r="B9" s="60"/>
      <c r="C9" s="60"/>
      <c r="D9" s="60"/>
      <c r="E9" s="29"/>
    </row>
    <row r="10" spans="1:5" s="9" customFormat="1" ht="24" customHeight="1" x14ac:dyDescent="0.25">
      <c r="A10" s="22"/>
      <c r="B10" s="60"/>
      <c r="C10" s="60"/>
      <c r="D10" s="60"/>
      <c r="E10" s="29"/>
    </row>
    <row r="11" spans="1:5" s="9" customFormat="1" ht="24" customHeight="1" x14ac:dyDescent="0.25">
      <c r="A11" s="22"/>
      <c r="B11" s="60"/>
      <c r="C11" s="60"/>
      <c r="D11" s="60"/>
      <c r="E11" s="29"/>
    </row>
    <row r="12" spans="1:5" s="9" customFormat="1" ht="24" customHeight="1" x14ac:dyDescent="0.25">
      <c r="A12" s="22"/>
      <c r="B12" s="60"/>
      <c r="C12" s="60"/>
      <c r="D12" s="60"/>
      <c r="E12" s="29"/>
    </row>
    <row r="13" spans="1:5" s="9" customFormat="1" ht="24" customHeight="1" x14ac:dyDescent="0.25">
      <c r="A13" s="22"/>
      <c r="B13" s="60"/>
      <c r="C13" s="60"/>
      <c r="D13" s="60"/>
      <c r="E13" s="29"/>
    </row>
    <row r="14" spans="1:5" s="9" customFormat="1" ht="24" customHeight="1" x14ac:dyDescent="0.25">
      <c r="A14" s="22"/>
      <c r="B14" s="60"/>
      <c r="C14" s="60"/>
      <c r="D14" s="60"/>
      <c r="E14" s="29"/>
    </row>
    <row r="15" spans="1:5" s="9" customFormat="1" ht="24" customHeight="1" x14ac:dyDescent="0.25">
      <c r="A15" s="22"/>
      <c r="B15" s="60"/>
      <c r="C15" s="60"/>
      <c r="D15" s="60"/>
      <c r="E15" s="29"/>
    </row>
    <row r="16" spans="1:5" s="9" customFormat="1" ht="24" customHeight="1" x14ac:dyDescent="0.25">
      <c r="A16" s="22"/>
      <c r="B16" s="60"/>
      <c r="C16" s="60"/>
      <c r="D16" s="60"/>
      <c r="E16" s="29"/>
    </row>
    <row r="17" spans="1:5" s="9" customFormat="1" ht="24" customHeight="1" x14ac:dyDescent="0.25">
      <c r="A17" s="22"/>
      <c r="B17" s="60"/>
      <c r="C17" s="60"/>
      <c r="D17" s="60"/>
      <c r="E17" s="29"/>
    </row>
    <row r="18" spans="1:5" s="9" customFormat="1" ht="24" customHeight="1" x14ac:dyDescent="0.25">
      <c r="A18" s="22" t="s">
        <v>107</v>
      </c>
      <c r="B18" s="60" t="s">
        <v>52</v>
      </c>
      <c r="C18" s="60" t="s">
        <v>112</v>
      </c>
      <c r="D18" s="60" t="s">
        <v>118</v>
      </c>
      <c r="E18" s="29" t="s">
        <v>106</v>
      </c>
    </row>
    <row r="19" spans="1:5" s="9" customFormat="1" ht="24" customHeight="1" x14ac:dyDescent="0.25">
      <c r="A19" s="22" t="s">
        <v>110</v>
      </c>
      <c r="B19" s="60" t="s">
        <v>52</v>
      </c>
      <c r="C19" s="60" t="s">
        <v>111</v>
      </c>
      <c r="D19" s="60" t="s">
        <v>118</v>
      </c>
      <c r="E19" s="29" t="s">
        <v>113</v>
      </c>
    </row>
    <row r="20" spans="1:5" s="9" customFormat="1" ht="24" customHeight="1" x14ac:dyDescent="0.25">
      <c r="A20" s="22" t="s">
        <v>115</v>
      </c>
      <c r="B20" s="60" t="s">
        <v>52</v>
      </c>
      <c r="C20" s="60" t="s">
        <v>116</v>
      </c>
      <c r="D20" s="60" t="s">
        <v>114</v>
      </c>
      <c r="E20" s="29" t="s">
        <v>117</v>
      </c>
    </row>
    <row r="21" spans="1:5" s="9" customFormat="1" ht="24" customHeight="1" x14ac:dyDescent="0.25">
      <c r="A21" s="22"/>
      <c r="B21" s="60"/>
      <c r="C21" s="60"/>
      <c r="D21" s="60"/>
      <c r="E21" s="29"/>
    </row>
    <row r="22" spans="1:5" s="9" customFormat="1" ht="24" customHeight="1" x14ac:dyDescent="0.25">
      <c r="A22" s="22"/>
      <c r="B22" s="60"/>
      <c r="C22" s="60"/>
      <c r="D22" s="60"/>
      <c r="E22" s="29"/>
    </row>
    <row r="23" spans="1:5" s="9" customFormat="1" ht="24" customHeight="1" x14ac:dyDescent="0.25">
      <c r="A23" s="22"/>
      <c r="B23" s="60"/>
      <c r="C23" s="60"/>
      <c r="D23" s="60"/>
      <c r="E23" s="29"/>
    </row>
    <row r="24" spans="1:5" s="9" customFormat="1" ht="24" customHeight="1" x14ac:dyDescent="0.25">
      <c r="A24" s="22"/>
      <c r="B24" s="60"/>
      <c r="C24" s="60"/>
      <c r="D24" s="60"/>
      <c r="E24" s="29"/>
    </row>
    <row r="25" spans="1:5" s="9" customFormat="1" ht="24" customHeight="1" x14ac:dyDescent="0.25">
      <c r="A25" s="22"/>
      <c r="B25" s="60"/>
      <c r="C25" s="60"/>
      <c r="D25" s="60"/>
      <c r="E25" s="29"/>
    </row>
    <row r="26" spans="1:5" s="9" customFormat="1" ht="24" customHeight="1" x14ac:dyDescent="0.25">
      <c r="A26" s="22"/>
      <c r="B26" s="60"/>
      <c r="C26" s="60"/>
      <c r="D26" s="60"/>
      <c r="E26" s="29"/>
    </row>
  </sheetData>
  <hyperlinks>
    <hyperlink ref="E18" r:id="rId1" xr:uid="{00000000-0004-0000-0800-000000000000}"/>
    <hyperlink ref="E2" r:id="rId2" xr:uid="{C06ADCED-2252-4726-BB27-6F3B5EB2836C}"/>
    <hyperlink ref="E3" r:id="rId3" xr:uid="{69E5C1B9-E164-440E-967F-7F0AAE799F32}"/>
  </hyperlinks>
  <pageMargins left="0.511811024" right="0.511811024" top="0.78740157499999996" bottom="0.78740157499999996" header="0.31496062000000002" footer="0.31496062000000002"/>
  <pageSetup paperSize="9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</sheetPr>
  <dimension ref="A1:B31"/>
  <sheetViews>
    <sheetView workbookViewId="0">
      <pane ySplit="1" topLeftCell="A2" activePane="bottomLeft" state="frozen"/>
      <selection pane="bottomLeft" activeCell="B11" sqref="B11"/>
    </sheetView>
  </sheetViews>
  <sheetFormatPr defaultRowHeight="24" customHeight="1" x14ac:dyDescent="0.25"/>
  <cols>
    <col min="1" max="1" width="46.28515625" style="10" customWidth="1"/>
    <col min="2" max="2" width="114.140625" style="20" bestFit="1" customWidth="1"/>
    <col min="3" max="16384" width="9.140625" style="17"/>
  </cols>
  <sheetData>
    <row r="1" spans="1:2" s="21" customFormat="1" ht="24" customHeight="1" x14ac:dyDescent="0.25">
      <c r="A1" s="18" t="s">
        <v>14</v>
      </c>
      <c r="B1" s="19" t="s">
        <v>12</v>
      </c>
    </row>
    <row r="2" spans="1:2" s="9" customFormat="1" ht="24" customHeight="1" x14ac:dyDescent="0.25">
      <c r="A2" s="22" t="s">
        <v>39</v>
      </c>
      <c r="B2" s="29" t="s">
        <v>66</v>
      </c>
    </row>
    <row r="3" spans="1:2" s="9" customFormat="1" ht="24" customHeight="1" x14ac:dyDescent="0.25">
      <c r="A3" s="22" t="s">
        <v>259</v>
      </c>
      <c r="B3" s="29" t="s">
        <v>258</v>
      </c>
    </row>
    <row r="4" spans="1:2" s="9" customFormat="1" ht="24" customHeight="1" x14ac:dyDescent="0.25">
      <c r="A4" s="22" t="s">
        <v>261</v>
      </c>
      <c r="B4" s="29" t="s">
        <v>260</v>
      </c>
    </row>
    <row r="5" spans="1:2" s="9" customFormat="1" ht="24" customHeight="1" x14ac:dyDescent="0.25">
      <c r="A5" s="22" t="s">
        <v>211</v>
      </c>
      <c r="B5" s="29" t="s">
        <v>210</v>
      </c>
    </row>
    <row r="6" spans="1:2" s="9" customFormat="1" ht="24" customHeight="1" x14ac:dyDescent="0.25">
      <c r="A6" s="22" t="s">
        <v>41</v>
      </c>
      <c r="B6" s="29" t="s">
        <v>95</v>
      </c>
    </row>
    <row r="7" spans="1:2" s="9" customFormat="1" ht="24" customHeight="1" x14ac:dyDescent="0.25">
      <c r="A7" s="22" t="s">
        <v>41</v>
      </c>
      <c r="B7" s="29" t="s">
        <v>96</v>
      </c>
    </row>
    <row r="8" spans="1:2" s="9" customFormat="1" ht="24" customHeight="1" x14ac:dyDescent="0.25">
      <c r="A8" s="22" t="s">
        <v>41</v>
      </c>
      <c r="B8" s="29" t="s">
        <v>40</v>
      </c>
    </row>
    <row r="9" spans="1:2" s="9" customFormat="1" ht="24" customHeight="1" x14ac:dyDescent="0.25">
      <c r="A9" s="22" t="s">
        <v>41</v>
      </c>
      <c r="B9" s="29" t="s">
        <v>63</v>
      </c>
    </row>
    <row r="10" spans="1:2" s="9" customFormat="1" ht="24" customHeight="1" x14ac:dyDescent="0.25">
      <c r="A10" s="22" t="s">
        <v>41</v>
      </c>
      <c r="B10" s="29" t="s">
        <v>80</v>
      </c>
    </row>
    <row r="11" spans="1:2" s="9" customFormat="1" ht="24" customHeight="1" x14ac:dyDescent="0.25">
      <c r="A11" s="22" t="s">
        <v>41</v>
      </c>
      <c r="B11" s="29" t="s">
        <v>86</v>
      </c>
    </row>
    <row r="12" spans="1:2" s="9" customFormat="1" ht="24" customHeight="1" x14ac:dyDescent="0.25">
      <c r="A12" s="22" t="s">
        <v>83</v>
      </c>
      <c r="B12" s="29" t="s">
        <v>81</v>
      </c>
    </row>
    <row r="13" spans="1:2" s="9" customFormat="1" ht="24" customHeight="1" x14ac:dyDescent="0.25">
      <c r="A13" s="22" t="s">
        <v>83</v>
      </c>
      <c r="B13" s="29" t="s">
        <v>82</v>
      </c>
    </row>
    <row r="14" spans="1:2" s="9" customFormat="1" ht="24" customHeight="1" x14ac:dyDescent="0.25">
      <c r="A14" s="22" t="s">
        <v>45</v>
      </c>
      <c r="B14" s="29" t="s">
        <v>44</v>
      </c>
    </row>
    <row r="15" spans="1:2" s="9" customFormat="1" ht="24" customHeight="1" x14ac:dyDescent="0.25">
      <c r="A15" s="22" t="s">
        <v>47</v>
      </c>
      <c r="B15" s="29" t="s">
        <v>46</v>
      </c>
    </row>
    <row r="16" spans="1:2" s="9" customFormat="1" ht="24" customHeight="1" x14ac:dyDescent="0.25">
      <c r="A16" s="22" t="s">
        <v>50</v>
      </c>
      <c r="B16" s="29" t="s">
        <v>49</v>
      </c>
    </row>
    <row r="17" spans="1:2" s="9" customFormat="1" ht="24" customHeight="1" x14ac:dyDescent="0.25">
      <c r="A17" s="22" t="s">
        <v>100</v>
      </c>
      <c r="B17" s="29" t="s">
        <v>97</v>
      </c>
    </row>
    <row r="18" spans="1:2" s="9" customFormat="1" ht="24" customHeight="1" x14ac:dyDescent="0.25">
      <c r="A18" s="22" t="s">
        <v>208</v>
      </c>
      <c r="B18" s="29" t="s">
        <v>207</v>
      </c>
    </row>
    <row r="19" spans="1:2" s="9" customFormat="1" ht="24" customHeight="1" x14ac:dyDescent="0.25">
      <c r="A19" s="22" t="s">
        <v>55</v>
      </c>
      <c r="B19" s="29" t="s">
        <v>56</v>
      </c>
    </row>
    <row r="20" spans="1:2" s="9" customFormat="1" ht="24" customHeight="1" x14ac:dyDescent="0.25">
      <c r="A20" s="22" t="s">
        <v>54</v>
      </c>
      <c r="B20" s="29" t="s">
        <v>53</v>
      </c>
    </row>
    <row r="21" spans="1:2" s="9" customFormat="1" ht="24" customHeight="1" x14ac:dyDescent="0.25">
      <c r="A21" s="22" t="s">
        <v>58</v>
      </c>
      <c r="B21" s="29" t="s">
        <v>57</v>
      </c>
    </row>
    <row r="22" spans="1:2" s="9" customFormat="1" ht="24" customHeight="1" x14ac:dyDescent="0.25">
      <c r="A22" s="22" t="s">
        <v>206</v>
      </c>
      <c r="B22" s="29" t="s">
        <v>257</v>
      </c>
    </row>
    <row r="23" spans="1:2" s="9" customFormat="1" ht="24" customHeight="1" x14ac:dyDescent="0.25">
      <c r="A23" s="22" t="s">
        <v>206</v>
      </c>
      <c r="B23" s="29" t="s">
        <v>205</v>
      </c>
    </row>
    <row r="24" spans="1:2" s="9" customFormat="1" ht="24" customHeight="1" x14ac:dyDescent="0.25">
      <c r="A24" s="22" t="s">
        <v>99</v>
      </c>
      <c r="B24" s="29" t="s">
        <v>98</v>
      </c>
    </row>
    <row r="25" spans="1:2" s="9" customFormat="1" ht="24" customHeight="1" x14ac:dyDescent="0.25">
      <c r="A25" s="22" t="s">
        <v>193</v>
      </c>
      <c r="B25" s="29" t="s">
        <v>37</v>
      </c>
    </row>
    <row r="26" spans="1:2" s="9" customFormat="1" ht="24" customHeight="1" x14ac:dyDescent="0.25">
      <c r="A26" s="22" t="s">
        <v>85</v>
      </c>
      <c r="B26" s="29" t="s">
        <v>84</v>
      </c>
    </row>
    <row r="27" spans="1:2" s="9" customFormat="1" ht="24" customHeight="1" x14ac:dyDescent="0.25">
      <c r="A27" s="22" t="s">
        <v>191</v>
      </c>
      <c r="B27" s="29" t="s">
        <v>204</v>
      </c>
    </row>
    <row r="28" spans="1:2" s="9" customFormat="1" ht="24" customHeight="1" x14ac:dyDescent="0.25">
      <c r="A28" s="22" t="s">
        <v>105</v>
      </c>
      <c r="B28" s="29" t="s">
        <v>104</v>
      </c>
    </row>
    <row r="29" spans="1:2" s="9" customFormat="1" ht="24" customHeight="1" x14ac:dyDescent="0.25">
      <c r="A29" s="22" t="s">
        <v>64</v>
      </c>
      <c r="B29" s="29" t="s">
        <v>65</v>
      </c>
    </row>
    <row r="30" spans="1:2" s="9" customFormat="1" ht="24" customHeight="1" x14ac:dyDescent="0.25">
      <c r="A30" s="22" t="s">
        <v>43</v>
      </c>
      <c r="B30" s="29" t="s">
        <v>42</v>
      </c>
    </row>
    <row r="31" spans="1:2" s="9" customFormat="1" ht="24" customHeight="1" x14ac:dyDescent="0.25">
      <c r="A31" s="22" t="s">
        <v>102</v>
      </c>
      <c r="B31" s="29" t="s">
        <v>103</v>
      </c>
    </row>
  </sheetData>
  <customSheetViews>
    <customSheetView guid="{D6C18F5D-C613-4A98-8955-7B30803369DD}">
      <pane ySplit="1" topLeftCell="A2" activePane="bottomLeft" state="frozen"/>
      <selection pane="bottomLeft" activeCell="D10" sqref="D10"/>
      <pageMargins left="0.511811024" right="0.511811024" top="0.78740157499999996" bottom="0.78740157499999996" header="0.31496062000000002" footer="0.31496062000000002"/>
      <pageSetup paperSize="9" orientation="portrait" r:id="rId1"/>
      <headerFooter alignWithMargins="0"/>
    </customSheetView>
  </customSheetViews>
  <hyperlinks>
    <hyperlink ref="B25" r:id="rId2" xr:uid="{00000000-0004-0000-0900-000000000000}"/>
    <hyperlink ref="B2" r:id="rId3" xr:uid="{00000000-0004-0000-0900-000001000000}"/>
    <hyperlink ref="B30" r:id="rId4" xr:uid="{00000000-0004-0000-0900-000002000000}"/>
    <hyperlink ref="B14" r:id="rId5" xr:uid="{00000000-0004-0000-0900-000003000000}"/>
    <hyperlink ref="B15" r:id="rId6" xr:uid="{00000000-0004-0000-0900-000004000000}"/>
    <hyperlink ref="B16" r:id="rId7" xr:uid="{00000000-0004-0000-0900-000005000000}"/>
    <hyperlink ref="B20" r:id="rId8" xr:uid="{00000000-0004-0000-0900-000006000000}"/>
    <hyperlink ref="B21" r:id="rId9" xr:uid="{00000000-0004-0000-0900-000007000000}"/>
    <hyperlink ref="B9" r:id="rId10" xr:uid="{00000000-0004-0000-0900-000008000000}"/>
    <hyperlink ref="B29" r:id="rId11" xr:uid="{00000000-0004-0000-0900-000009000000}"/>
    <hyperlink ref="B19" r:id="rId12" xr:uid="{00000000-0004-0000-0900-00000A000000}"/>
    <hyperlink ref="B10" r:id="rId13" xr:uid="{00000000-0004-0000-0900-00000B000000}"/>
    <hyperlink ref="B13" r:id="rId14" xr:uid="{00000000-0004-0000-0900-00000C000000}"/>
    <hyperlink ref="B26" r:id="rId15" xr:uid="{00000000-0004-0000-0900-00000D000000}"/>
    <hyperlink ref="B11" r:id="rId16" xr:uid="{00000000-0004-0000-0900-00000E000000}"/>
    <hyperlink ref="B17" r:id="rId17" xr:uid="{00000000-0004-0000-0900-00000F000000}"/>
    <hyperlink ref="B24" r:id="rId18" xr:uid="{00000000-0004-0000-0900-000010000000}"/>
    <hyperlink ref="B7" r:id="rId19" xr:uid="{00000000-0004-0000-0900-000011000000}"/>
    <hyperlink ref="B6" r:id="rId20" xr:uid="{00000000-0004-0000-0900-000012000000}"/>
    <hyperlink ref="B31" r:id="rId21" xr:uid="{00000000-0004-0000-0900-000013000000}"/>
    <hyperlink ref="B12" r:id="rId22" xr:uid="{00000000-0004-0000-0900-000014000000}"/>
    <hyperlink ref="B28" r:id="rId23" xr:uid="{00000000-0004-0000-0900-000015000000}"/>
    <hyperlink ref="B27" r:id="rId24" xr:uid="{00000000-0004-0000-0900-000016000000}"/>
    <hyperlink ref="B23" r:id="rId25" xr:uid="{00000000-0004-0000-0900-000017000000}"/>
    <hyperlink ref="B18" r:id="rId26" xr:uid="{00000000-0004-0000-0900-000018000000}"/>
    <hyperlink ref="B5" r:id="rId27" xr:uid="{00000000-0004-0000-0900-000019000000}"/>
    <hyperlink ref="B22" r:id="rId28" xr:uid="{0E6D3BAC-84C9-40B5-877C-88A97215E3B6}"/>
    <hyperlink ref="B3" r:id="rId29" xr:uid="{51FC1E97-24DB-46D5-B953-57DF6053061A}"/>
    <hyperlink ref="B4" r:id="rId30" xr:uid="{A3049D6F-4329-4CF8-A997-93FE0F6B4F12}"/>
    <hyperlink ref="B8" r:id="rId31" xr:uid="{32351EA3-1F9F-4FFC-87BF-496A99A5F9BD}"/>
  </hyperlinks>
  <pageMargins left="0.511811024" right="0.511811024" top="0.78740157499999996" bottom="0.78740157499999996" header="0.31496062000000002" footer="0.31496062000000002"/>
  <pageSetup paperSize="9" orientation="portrait" r:id="rId3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Q3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RowHeight="24" customHeight="1" x14ac:dyDescent="0.25"/>
  <cols>
    <col min="1" max="1" width="4.140625" style="5" customWidth="1"/>
    <col min="2" max="2" width="38.42578125" style="7" bestFit="1" customWidth="1"/>
    <col min="3" max="3" width="5.5703125" style="2" customWidth="1"/>
    <col min="4" max="4" width="19.85546875" style="61" bestFit="1" customWidth="1"/>
    <col min="5" max="5" width="23.5703125" style="61" customWidth="1"/>
    <col min="6" max="6" width="15.5703125" style="2" customWidth="1"/>
    <col min="7" max="8" width="17.140625" style="2" customWidth="1"/>
    <col min="9" max="10" width="14.5703125" style="2" customWidth="1"/>
    <col min="11" max="11" width="8.5703125" style="3" customWidth="1"/>
    <col min="12" max="12" width="8.5703125" style="6" customWidth="1"/>
    <col min="13" max="14" width="15" style="4" customWidth="1"/>
    <col min="15" max="15" width="14.5703125" style="4" customWidth="1"/>
    <col min="16" max="16" width="14.5703125" style="1" customWidth="1"/>
    <col min="17" max="17" width="18.7109375" style="1" bestFit="1" customWidth="1"/>
    <col min="18" max="16384" width="9.140625" style="1"/>
  </cols>
  <sheetData>
    <row r="1" spans="1:17" s="8" customFormat="1" ht="24" customHeight="1" x14ac:dyDescent="0.25">
      <c r="A1" s="32"/>
      <c r="B1" s="35"/>
      <c r="C1" s="33" t="s">
        <v>11</v>
      </c>
      <c r="D1" s="33" t="s">
        <v>196</v>
      </c>
      <c r="E1" s="33" t="s">
        <v>197</v>
      </c>
      <c r="F1" s="179" t="s">
        <v>9</v>
      </c>
      <c r="G1" s="179"/>
      <c r="H1" s="179"/>
      <c r="I1" s="43" t="s">
        <v>13</v>
      </c>
      <c r="J1" s="43" t="s">
        <v>21</v>
      </c>
      <c r="K1" s="33" t="s">
        <v>17</v>
      </c>
      <c r="L1" s="33" t="s">
        <v>10</v>
      </c>
      <c r="M1" s="33" t="s">
        <v>18</v>
      </c>
      <c r="N1" s="33" t="s">
        <v>22</v>
      </c>
      <c r="O1" s="34" t="s">
        <v>23</v>
      </c>
      <c r="P1" s="34" t="s">
        <v>19</v>
      </c>
      <c r="Q1" s="34"/>
    </row>
    <row r="2" spans="1:17" s="9" customFormat="1" ht="24" customHeight="1" x14ac:dyDescent="0.25">
      <c r="A2" s="38" t="s">
        <v>7</v>
      </c>
      <c r="B2" s="51" t="s">
        <v>93</v>
      </c>
      <c r="C2" s="180" t="s">
        <v>26</v>
      </c>
      <c r="D2" s="54" t="s">
        <v>33</v>
      </c>
      <c r="E2" s="79" t="s">
        <v>189</v>
      </c>
      <c r="F2" s="56" t="s">
        <v>199</v>
      </c>
      <c r="G2" s="56" t="s">
        <v>212</v>
      </c>
      <c r="H2" s="56"/>
      <c r="I2" s="39">
        <f>2630.15+209.35</f>
        <v>2839.5</v>
      </c>
      <c r="J2" s="39"/>
      <c r="K2" s="40">
        <v>2</v>
      </c>
      <c r="L2" s="41">
        <v>1</v>
      </c>
      <c r="M2" s="39">
        <f t="shared" ref="M2:M17" si="0">(I2+J2)*K2*L2</f>
        <v>5679</v>
      </c>
      <c r="N2" s="39">
        <v>1</v>
      </c>
      <c r="O2" s="39">
        <f t="shared" ref="O2:O3" si="1">M2*N2</f>
        <v>5679</v>
      </c>
      <c r="P2" s="39">
        <f>O2</f>
        <v>5679</v>
      </c>
      <c r="Q2" s="42"/>
    </row>
    <row r="3" spans="1:17" s="109" customFormat="1" ht="24" customHeight="1" x14ac:dyDescent="0.25">
      <c r="A3" s="38" t="s">
        <v>7</v>
      </c>
      <c r="B3" s="51" t="s">
        <v>92</v>
      </c>
      <c r="C3" s="180"/>
      <c r="D3" s="54" t="s">
        <v>33</v>
      </c>
      <c r="E3" s="41" t="s">
        <v>189</v>
      </c>
      <c r="F3" s="107" t="s">
        <v>200</v>
      </c>
      <c r="G3" s="107" t="s">
        <v>297</v>
      </c>
      <c r="H3" s="107" t="s">
        <v>296</v>
      </c>
      <c r="I3" s="39">
        <v>152.38999999999999</v>
      </c>
      <c r="J3" s="39"/>
      <c r="K3" s="40">
        <v>2</v>
      </c>
      <c r="L3" s="41">
        <v>1</v>
      </c>
      <c r="M3" s="39">
        <f t="shared" ref="M3:M4" si="2">(I3+J3)*K3*L3</f>
        <v>304.77999999999997</v>
      </c>
      <c r="N3" s="39">
        <v>1</v>
      </c>
      <c r="O3" s="39">
        <f t="shared" si="1"/>
        <v>304.77999999999997</v>
      </c>
      <c r="P3" s="39">
        <f>O3</f>
        <v>304.77999999999997</v>
      </c>
      <c r="Q3" s="108"/>
    </row>
    <row r="4" spans="1:17" s="109" customFormat="1" ht="24" customHeight="1" x14ac:dyDescent="0.25">
      <c r="A4" s="38" t="s">
        <v>7</v>
      </c>
      <c r="B4" s="51" t="s">
        <v>91</v>
      </c>
      <c r="C4" s="180"/>
      <c r="D4" s="130" t="s">
        <v>298</v>
      </c>
      <c r="E4" s="103" t="s">
        <v>299</v>
      </c>
      <c r="F4" s="107" t="s">
        <v>189</v>
      </c>
      <c r="G4" s="107" t="s">
        <v>189</v>
      </c>
      <c r="H4" s="107" t="s">
        <v>189</v>
      </c>
      <c r="I4" s="48">
        <v>9000</v>
      </c>
      <c r="J4" s="48"/>
      <c r="K4" s="40">
        <v>2</v>
      </c>
      <c r="L4" s="41">
        <v>2</v>
      </c>
      <c r="M4" s="48">
        <f t="shared" si="2"/>
        <v>36000</v>
      </c>
      <c r="N4" s="39">
        <f>CLP*(1+IOF_Wise)</f>
        <v>6.5026853999999995E-3</v>
      </c>
      <c r="O4" s="39">
        <f t="shared" ref="O4" si="3">M4*N4</f>
        <v>234.09667439999998</v>
      </c>
      <c r="P4" s="39" t="s">
        <v>326</v>
      </c>
      <c r="Q4" s="108"/>
    </row>
    <row r="5" spans="1:17" s="9" customFormat="1" ht="24" customHeight="1" x14ac:dyDescent="0.25">
      <c r="A5" s="38"/>
      <c r="B5" s="51" t="s">
        <v>91</v>
      </c>
      <c r="C5" s="180"/>
      <c r="D5" s="78" t="s">
        <v>203</v>
      </c>
      <c r="E5" s="41" t="s">
        <v>189</v>
      </c>
      <c r="F5" s="56" t="s">
        <v>189</v>
      </c>
      <c r="G5" s="56" t="s">
        <v>189</v>
      </c>
      <c r="H5" s="56" t="s">
        <v>189</v>
      </c>
      <c r="I5" s="48">
        <v>35000</v>
      </c>
      <c r="J5" s="48"/>
      <c r="K5" s="40">
        <v>1</v>
      </c>
      <c r="L5" s="41">
        <v>2</v>
      </c>
      <c r="M5" s="48">
        <f t="shared" ref="M5:M6" si="4">(I5+J5)*K5*L5</f>
        <v>70000</v>
      </c>
      <c r="N5" s="39">
        <f>CLP*(1+IOF_Wise)</f>
        <v>6.5026853999999995E-3</v>
      </c>
      <c r="O5" s="39">
        <f t="shared" ref="O5:O6" si="5">M5*N5</f>
        <v>455.18797799999999</v>
      </c>
      <c r="P5" s="39"/>
      <c r="Q5" s="42"/>
    </row>
    <row r="6" spans="1:17" s="9" customFormat="1" ht="24" customHeight="1" x14ac:dyDescent="0.25">
      <c r="A6" s="38"/>
      <c r="B6" s="51" t="s">
        <v>263</v>
      </c>
      <c r="C6" s="180"/>
      <c r="D6" s="78" t="s">
        <v>265</v>
      </c>
      <c r="E6" s="103" t="s">
        <v>264</v>
      </c>
      <c r="F6" s="56" t="s">
        <v>266</v>
      </c>
      <c r="G6" s="56" t="s">
        <v>267</v>
      </c>
      <c r="H6" s="56" t="s">
        <v>268</v>
      </c>
      <c r="I6" s="44">
        <v>675</v>
      </c>
      <c r="J6" s="44"/>
      <c r="K6" s="40">
        <v>1</v>
      </c>
      <c r="L6" s="41">
        <v>1</v>
      </c>
      <c r="M6" s="44">
        <f t="shared" si="4"/>
        <v>675</v>
      </c>
      <c r="N6" s="39">
        <f>USD*(1+IOF_Wise)</f>
        <v>5.9039459999999995</v>
      </c>
      <c r="O6" s="39">
        <f t="shared" si="5"/>
        <v>3985.1635499999998</v>
      </c>
      <c r="P6" s="39"/>
      <c r="Q6" s="42"/>
    </row>
    <row r="7" spans="1:17" s="137" customFormat="1" ht="24" customHeight="1" x14ac:dyDescent="0.25">
      <c r="A7" s="131" t="s">
        <v>7</v>
      </c>
      <c r="B7" s="51" t="s">
        <v>262</v>
      </c>
      <c r="C7" s="180"/>
      <c r="D7" s="130" t="s">
        <v>270</v>
      </c>
      <c r="E7" s="132" t="s">
        <v>269</v>
      </c>
      <c r="F7" s="133" t="s">
        <v>271</v>
      </c>
      <c r="G7" s="133" t="s">
        <v>272</v>
      </c>
      <c r="H7" s="133" t="s">
        <v>322</v>
      </c>
      <c r="I7" s="134">
        <v>327127</v>
      </c>
      <c r="J7" s="134"/>
      <c r="K7" s="40">
        <v>1</v>
      </c>
      <c r="L7" s="41">
        <v>1</v>
      </c>
      <c r="M7" s="134">
        <v>352127</v>
      </c>
      <c r="N7" s="135">
        <f>CLP*(1+IOF_Wise)</f>
        <v>6.5026853999999995E-3</v>
      </c>
      <c r="O7" s="135">
        <f t="shared" ref="O7" si="6">M7*N7</f>
        <v>2289.7711018457999</v>
      </c>
      <c r="P7" s="135">
        <f>O7</f>
        <v>2289.7711018457999</v>
      </c>
      <c r="Q7" s="136"/>
    </row>
    <row r="8" spans="1:17" s="109" customFormat="1" ht="24" customHeight="1" x14ac:dyDescent="0.25">
      <c r="A8" s="38" t="s">
        <v>7</v>
      </c>
      <c r="B8" s="51" t="s">
        <v>38</v>
      </c>
      <c r="C8" s="180"/>
      <c r="D8" s="54" t="s">
        <v>85</v>
      </c>
      <c r="E8" s="103" t="s">
        <v>192</v>
      </c>
      <c r="F8" s="54" t="s">
        <v>195</v>
      </c>
      <c r="G8" s="54" t="s">
        <v>198</v>
      </c>
      <c r="H8" s="107" t="s">
        <v>189</v>
      </c>
      <c r="I8" s="44">
        <v>2140</v>
      </c>
      <c r="J8" s="44"/>
      <c r="K8" s="40">
        <v>1</v>
      </c>
      <c r="L8" s="41">
        <v>1</v>
      </c>
      <c r="M8" s="44">
        <f t="shared" ref="M8" si="7">(I8+J8)*K8*L8</f>
        <v>2140</v>
      </c>
      <c r="N8" s="39">
        <f>USD*(1+IOF_Wise)</f>
        <v>5.9039459999999995</v>
      </c>
      <c r="O8" s="39">
        <f t="shared" ref="O8" si="8">M8*N8</f>
        <v>12634.444439999999</v>
      </c>
      <c r="P8" s="39">
        <f>837.05*N8</f>
        <v>4941.8979992999994</v>
      </c>
      <c r="Q8" s="108" t="s">
        <v>318</v>
      </c>
    </row>
    <row r="9" spans="1:17" s="9" customFormat="1" ht="24" customHeight="1" x14ac:dyDescent="0.25">
      <c r="A9" s="38" t="s">
        <v>7</v>
      </c>
      <c r="B9" s="51" t="s">
        <v>90</v>
      </c>
      <c r="C9" s="180"/>
      <c r="D9" s="78" t="s">
        <v>189</v>
      </c>
      <c r="E9" s="79" t="s">
        <v>189</v>
      </c>
      <c r="F9" s="56" t="s">
        <v>189</v>
      </c>
      <c r="G9" s="56" t="s">
        <v>189</v>
      </c>
      <c r="H9" s="56" t="s">
        <v>189</v>
      </c>
      <c r="I9" s="48"/>
      <c r="J9" s="48"/>
      <c r="K9" s="40">
        <v>1</v>
      </c>
      <c r="L9" s="41">
        <v>12</v>
      </c>
      <c r="M9" s="48">
        <f t="shared" si="0"/>
        <v>0</v>
      </c>
      <c r="N9" s="39">
        <f>CLP*(1+IOF_Wise)</f>
        <v>6.5026853999999995E-3</v>
      </c>
      <c r="O9" s="39">
        <f t="shared" ref="O9" si="9">M9*N9</f>
        <v>0</v>
      </c>
      <c r="P9" s="39"/>
      <c r="Q9" s="42"/>
    </row>
    <row r="10" spans="1:17" s="9" customFormat="1" ht="24" customHeight="1" x14ac:dyDescent="0.25">
      <c r="A10" s="38" t="s">
        <v>7</v>
      </c>
      <c r="B10" s="51" t="s">
        <v>186</v>
      </c>
      <c r="C10" s="181" t="s">
        <v>28</v>
      </c>
      <c r="D10" s="56" t="s">
        <v>188</v>
      </c>
      <c r="E10" s="77" t="s">
        <v>319</v>
      </c>
      <c r="F10" s="56" t="s">
        <v>309</v>
      </c>
      <c r="G10" s="56" t="s">
        <v>303</v>
      </c>
      <c r="H10" s="107" t="s">
        <v>308</v>
      </c>
      <c r="I10" s="44">
        <v>44</v>
      </c>
      <c r="J10" s="44">
        <v>8.36</v>
      </c>
      <c r="K10" s="40">
        <v>1</v>
      </c>
      <c r="L10" s="41">
        <v>1</v>
      </c>
      <c r="M10" s="44">
        <f t="shared" si="0"/>
        <v>52.36</v>
      </c>
      <c r="N10" s="39">
        <f t="shared" ref="N10:N16" si="10">USD*(1+IOF_Wise)</f>
        <v>5.9039459999999995</v>
      </c>
      <c r="O10" s="39">
        <f t="shared" ref="O10:O17" si="11">M10*N10</f>
        <v>309.13061255999997</v>
      </c>
      <c r="P10" s="39" t="s">
        <v>213</v>
      </c>
      <c r="Q10" s="42"/>
    </row>
    <row r="11" spans="1:17" s="109" customFormat="1" ht="24" customHeight="1" x14ac:dyDescent="0.25">
      <c r="A11" s="38" t="s">
        <v>7</v>
      </c>
      <c r="B11" s="51" t="s">
        <v>300</v>
      </c>
      <c r="C11" s="182"/>
      <c r="D11" s="107" t="s">
        <v>301</v>
      </c>
      <c r="E11" s="103" t="s">
        <v>323</v>
      </c>
      <c r="F11" s="107" t="s">
        <v>310</v>
      </c>
      <c r="G11" s="107" t="s">
        <v>302</v>
      </c>
      <c r="H11" s="107" t="s">
        <v>304</v>
      </c>
      <c r="I11" s="44">
        <v>85</v>
      </c>
      <c r="J11" s="44"/>
      <c r="K11" s="40">
        <v>1</v>
      </c>
      <c r="L11" s="41">
        <v>1</v>
      </c>
      <c r="M11" s="44">
        <f t="shared" si="0"/>
        <v>85</v>
      </c>
      <c r="N11" s="39">
        <f t="shared" si="10"/>
        <v>5.9039459999999995</v>
      </c>
      <c r="O11" s="39">
        <f t="shared" si="11"/>
        <v>501.83540999999997</v>
      </c>
      <c r="P11" s="39" t="s">
        <v>213</v>
      </c>
      <c r="Q11" s="108"/>
    </row>
    <row r="12" spans="1:17" s="109" customFormat="1" ht="24" customHeight="1" x14ac:dyDescent="0.25">
      <c r="A12" s="38" t="s">
        <v>7</v>
      </c>
      <c r="B12" s="51" t="s">
        <v>327</v>
      </c>
      <c r="C12" s="182"/>
      <c r="D12" s="107" t="s">
        <v>316</v>
      </c>
      <c r="E12" s="103" t="s">
        <v>320</v>
      </c>
      <c r="F12" s="107" t="s">
        <v>311</v>
      </c>
      <c r="G12" s="107" t="s">
        <v>317</v>
      </c>
      <c r="H12" s="107" t="s">
        <v>308</v>
      </c>
      <c r="I12" s="44">
        <v>77</v>
      </c>
      <c r="J12" s="44">
        <v>15</v>
      </c>
      <c r="K12" s="40">
        <v>1</v>
      </c>
      <c r="L12" s="41">
        <v>1</v>
      </c>
      <c r="M12" s="44">
        <f t="shared" ref="M12:M14" si="12">(I12+J12)*K12*L12</f>
        <v>92</v>
      </c>
      <c r="N12" s="39">
        <f t="shared" si="10"/>
        <v>5.9039459999999995</v>
      </c>
      <c r="O12" s="39">
        <f t="shared" ref="O12:O14" si="13">M12*N12</f>
        <v>543.16303199999993</v>
      </c>
      <c r="P12" s="39" t="s">
        <v>213</v>
      </c>
      <c r="Q12" s="108"/>
    </row>
    <row r="13" spans="1:17" s="109" customFormat="1" ht="24" customHeight="1" x14ac:dyDescent="0.25">
      <c r="A13" s="38" t="s">
        <v>7</v>
      </c>
      <c r="B13" s="51" t="s">
        <v>273</v>
      </c>
      <c r="C13" s="182"/>
      <c r="D13" s="107" t="s">
        <v>306</v>
      </c>
      <c r="E13" s="103" t="s">
        <v>321</v>
      </c>
      <c r="F13" s="107" t="s">
        <v>312</v>
      </c>
      <c r="G13" s="107" t="s">
        <v>307</v>
      </c>
      <c r="H13" s="107" t="s">
        <v>308</v>
      </c>
      <c r="I13" s="44">
        <v>150</v>
      </c>
      <c r="J13" s="44">
        <v>29</v>
      </c>
      <c r="K13" s="40">
        <v>1</v>
      </c>
      <c r="L13" s="41">
        <v>1</v>
      </c>
      <c r="M13" s="44">
        <f t="shared" si="12"/>
        <v>179</v>
      </c>
      <c r="N13" s="39">
        <f t="shared" si="10"/>
        <v>5.9039459999999995</v>
      </c>
      <c r="O13" s="39">
        <f t="shared" si="13"/>
        <v>1056.8063339999999</v>
      </c>
      <c r="P13" s="39" t="s">
        <v>213</v>
      </c>
      <c r="Q13" s="108"/>
    </row>
    <row r="14" spans="1:17" s="109" customFormat="1" ht="24" customHeight="1" x14ac:dyDescent="0.25">
      <c r="A14" s="38" t="s">
        <v>7</v>
      </c>
      <c r="B14" s="51" t="s">
        <v>328</v>
      </c>
      <c r="C14" s="182"/>
      <c r="D14" s="107" t="s">
        <v>329</v>
      </c>
      <c r="E14" s="103" t="s">
        <v>331</v>
      </c>
      <c r="F14" s="107" t="s">
        <v>313</v>
      </c>
      <c r="G14" s="107" t="s">
        <v>330</v>
      </c>
      <c r="H14" s="107" t="s">
        <v>308</v>
      </c>
      <c r="I14" s="39">
        <v>499.18</v>
      </c>
      <c r="J14" s="39"/>
      <c r="K14" s="40">
        <v>1</v>
      </c>
      <c r="L14" s="41">
        <v>1</v>
      </c>
      <c r="M14" s="39">
        <f t="shared" si="12"/>
        <v>499.18</v>
      </c>
      <c r="N14" s="39">
        <v>1</v>
      </c>
      <c r="O14" s="39">
        <f t="shared" si="13"/>
        <v>499.18</v>
      </c>
      <c r="P14" s="39">
        <f>O14</f>
        <v>499.18</v>
      </c>
      <c r="Q14" s="108"/>
    </row>
    <row r="15" spans="1:17" s="109" customFormat="1" ht="24" customHeight="1" x14ac:dyDescent="0.25">
      <c r="A15" s="38" t="s">
        <v>7</v>
      </c>
      <c r="B15" s="51" t="s">
        <v>305</v>
      </c>
      <c r="C15" s="182"/>
      <c r="D15" s="107" t="s">
        <v>301</v>
      </c>
      <c r="E15" s="103" t="s">
        <v>323</v>
      </c>
      <c r="F15" s="107" t="s">
        <v>314</v>
      </c>
      <c r="G15" s="107" t="s">
        <v>302</v>
      </c>
      <c r="H15" s="107" t="s">
        <v>304</v>
      </c>
      <c r="I15" s="44">
        <v>85</v>
      </c>
      <c r="J15" s="44"/>
      <c r="K15" s="40">
        <v>1</v>
      </c>
      <c r="L15" s="41">
        <v>1</v>
      </c>
      <c r="M15" s="44">
        <f t="shared" ref="M15" si="14">(I15+J15)*K15*L15</f>
        <v>85</v>
      </c>
      <c r="N15" s="39">
        <f t="shared" si="10"/>
        <v>5.9039459999999995</v>
      </c>
      <c r="O15" s="39">
        <f t="shared" ref="O15" si="15">M15*N15</f>
        <v>501.83540999999997</v>
      </c>
      <c r="P15" s="39" t="s">
        <v>213</v>
      </c>
      <c r="Q15" s="108"/>
    </row>
    <row r="16" spans="1:17" s="9" customFormat="1" ht="24" customHeight="1" x14ac:dyDescent="0.25">
      <c r="A16" s="38" t="s">
        <v>7</v>
      </c>
      <c r="B16" s="51" t="s">
        <v>187</v>
      </c>
      <c r="C16" s="182"/>
      <c r="D16" s="56" t="s">
        <v>188</v>
      </c>
      <c r="E16" s="77" t="s">
        <v>319</v>
      </c>
      <c r="F16" s="56" t="s">
        <v>315</v>
      </c>
      <c r="G16" s="56" t="s">
        <v>303</v>
      </c>
      <c r="H16" s="107" t="s">
        <v>308</v>
      </c>
      <c r="I16" s="44">
        <v>44</v>
      </c>
      <c r="J16" s="44">
        <v>8</v>
      </c>
      <c r="K16" s="40">
        <v>1</v>
      </c>
      <c r="L16" s="41">
        <v>1</v>
      </c>
      <c r="M16" s="44">
        <f t="shared" si="0"/>
        <v>52</v>
      </c>
      <c r="N16" s="39">
        <f t="shared" si="10"/>
        <v>5.9039459999999995</v>
      </c>
      <c r="O16" s="39">
        <f t="shared" si="11"/>
        <v>307.00519199999997</v>
      </c>
      <c r="P16" s="39" t="s">
        <v>213</v>
      </c>
      <c r="Q16" s="42"/>
    </row>
    <row r="17" spans="1:17" s="109" customFormat="1" ht="24" customHeight="1" x14ac:dyDescent="0.25">
      <c r="A17" s="38" t="s">
        <v>7</v>
      </c>
      <c r="B17" s="51" t="s">
        <v>335</v>
      </c>
      <c r="C17" s="182"/>
      <c r="D17" s="130"/>
      <c r="E17" s="77"/>
      <c r="F17" s="107" t="s">
        <v>189</v>
      </c>
      <c r="G17" s="107" t="s">
        <v>189</v>
      </c>
      <c r="H17" s="107" t="s">
        <v>189</v>
      </c>
      <c r="I17" s="48">
        <v>9000</v>
      </c>
      <c r="J17" s="48"/>
      <c r="K17" s="40">
        <v>1</v>
      </c>
      <c r="L17" s="41">
        <v>2</v>
      </c>
      <c r="M17" s="48">
        <f t="shared" si="0"/>
        <v>18000</v>
      </c>
      <c r="N17" s="39">
        <f>CLP*(1+IOF_Wise)</f>
        <v>6.5026853999999995E-3</v>
      </c>
      <c r="O17" s="39">
        <f t="shared" si="11"/>
        <v>117.04833719999999</v>
      </c>
      <c r="P17" s="39"/>
      <c r="Q17" s="108"/>
    </row>
    <row r="18" spans="1:17" s="109" customFormat="1" ht="24" customHeight="1" x14ac:dyDescent="0.25">
      <c r="A18" s="38" t="s">
        <v>7</v>
      </c>
      <c r="B18" s="51" t="s">
        <v>333</v>
      </c>
      <c r="C18" s="138"/>
      <c r="D18" s="130" t="s">
        <v>332</v>
      </c>
      <c r="E18" s="77" t="s">
        <v>334</v>
      </c>
      <c r="F18" s="107" t="s">
        <v>189</v>
      </c>
      <c r="G18" s="107" t="s">
        <v>189</v>
      </c>
      <c r="H18" s="107" t="s">
        <v>189</v>
      </c>
      <c r="I18" s="48">
        <v>9000</v>
      </c>
      <c r="J18" s="48"/>
      <c r="K18" s="40">
        <v>1</v>
      </c>
      <c r="L18" s="41">
        <v>2</v>
      </c>
      <c r="M18" s="48">
        <f t="shared" ref="M18" si="16">(I18+J18)*K18*L18</f>
        <v>18000</v>
      </c>
      <c r="N18" s="39">
        <f>CLP*(1+IOF_Wise)</f>
        <v>6.5026853999999995E-3</v>
      </c>
      <c r="O18" s="39">
        <f t="shared" ref="O18" si="17">M18*N18</f>
        <v>117.04833719999999</v>
      </c>
      <c r="P18" s="39"/>
      <c r="Q18" s="108"/>
    </row>
    <row r="19" spans="1:17" s="109" customFormat="1" ht="24" customHeight="1" x14ac:dyDescent="0.25">
      <c r="A19" s="38" t="s">
        <v>7</v>
      </c>
      <c r="B19" s="51" t="s">
        <v>336</v>
      </c>
      <c r="C19" s="138"/>
      <c r="D19" s="130"/>
      <c r="E19" s="41"/>
      <c r="F19" s="107"/>
      <c r="G19" s="107"/>
      <c r="H19" s="107"/>
      <c r="I19" s="48"/>
      <c r="J19" s="48"/>
      <c r="K19" s="40"/>
      <c r="L19" s="41"/>
      <c r="M19" s="48"/>
      <c r="N19" s="39"/>
      <c r="O19" s="39"/>
      <c r="P19" s="39"/>
      <c r="Q19" s="108"/>
    </row>
    <row r="20" spans="1:17" s="109" customFormat="1" ht="24" customHeight="1" x14ac:dyDescent="0.25">
      <c r="A20" s="38" t="s">
        <v>7</v>
      </c>
      <c r="B20" s="51" t="s">
        <v>337</v>
      </c>
      <c r="C20" s="138"/>
      <c r="D20" s="130"/>
      <c r="E20" s="41"/>
      <c r="F20" s="107"/>
      <c r="G20" s="107"/>
      <c r="H20" s="107"/>
      <c r="I20" s="48"/>
      <c r="J20" s="48"/>
      <c r="K20" s="40"/>
      <c r="L20" s="41"/>
      <c r="M20" s="48"/>
      <c r="N20" s="39"/>
      <c r="O20" s="39"/>
      <c r="P20" s="39"/>
      <c r="Q20" s="108"/>
    </row>
    <row r="21" spans="1:17" s="109" customFormat="1" ht="24" customHeight="1" x14ac:dyDescent="0.25">
      <c r="A21" s="38" t="s">
        <v>7</v>
      </c>
      <c r="B21" s="51" t="s">
        <v>338</v>
      </c>
      <c r="C21" s="138"/>
      <c r="D21" s="130"/>
      <c r="E21" s="41"/>
      <c r="F21" s="107"/>
      <c r="G21" s="107"/>
      <c r="H21" s="107"/>
      <c r="I21" s="48"/>
      <c r="J21" s="48"/>
      <c r="K21" s="40"/>
      <c r="L21" s="41"/>
      <c r="M21" s="48"/>
      <c r="N21" s="39"/>
      <c r="O21" s="39"/>
      <c r="P21" s="39"/>
      <c r="Q21" s="108"/>
    </row>
    <row r="22" spans="1:17" s="109" customFormat="1" ht="24" customHeight="1" x14ac:dyDescent="0.25">
      <c r="A22" s="38" t="s">
        <v>7</v>
      </c>
      <c r="B22" s="51" t="s">
        <v>339</v>
      </c>
      <c r="C22" s="138"/>
      <c r="D22" s="130"/>
      <c r="E22" s="41"/>
      <c r="F22" s="107"/>
      <c r="G22" s="107"/>
      <c r="H22" s="107"/>
      <c r="I22" s="48"/>
      <c r="J22" s="48"/>
      <c r="K22" s="40"/>
      <c r="L22" s="41"/>
      <c r="M22" s="48"/>
      <c r="N22" s="39"/>
      <c r="O22" s="39"/>
      <c r="P22" s="39"/>
      <c r="Q22" s="108"/>
    </row>
    <row r="23" spans="1:17" s="9" customFormat="1" ht="24" customHeight="1" x14ac:dyDescent="0.25">
      <c r="A23" s="38" t="s">
        <v>7</v>
      </c>
      <c r="B23" s="51" t="s">
        <v>333</v>
      </c>
      <c r="C23" s="138"/>
      <c r="D23" s="130" t="s">
        <v>332</v>
      </c>
      <c r="E23" s="77" t="s">
        <v>334</v>
      </c>
      <c r="F23" s="107" t="s">
        <v>189</v>
      </c>
      <c r="G23" s="107" t="s">
        <v>189</v>
      </c>
      <c r="H23" s="107" t="s">
        <v>189</v>
      </c>
      <c r="I23" s="48">
        <v>9000</v>
      </c>
      <c r="J23" s="48"/>
      <c r="K23" s="40">
        <v>1</v>
      </c>
      <c r="L23" s="41">
        <v>2</v>
      </c>
      <c r="M23" s="48">
        <f t="shared" ref="M23" si="18">(I23+J23)*K23*L23</f>
        <v>18000</v>
      </c>
      <c r="N23" s="39">
        <f>CLP*(1+IOF_Wise)</f>
        <v>6.5026853999999995E-3</v>
      </c>
      <c r="O23" s="39">
        <f t="shared" ref="O23" si="19">M23*N23</f>
        <v>117.04833719999999</v>
      </c>
      <c r="P23" s="39"/>
      <c r="Q23" s="42"/>
    </row>
    <row r="24" spans="1:17" s="9" customFormat="1" ht="24" customHeight="1" x14ac:dyDescent="0.25">
      <c r="A24" s="38"/>
      <c r="B24" s="51"/>
      <c r="C24" s="180" t="s">
        <v>34</v>
      </c>
      <c r="D24" s="78" t="s">
        <v>189</v>
      </c>
      <c r="E24" s="79" t="s">
        <v>189</v>
      </c>
      <c r="F24" s="56" t="s">
        <v>189</v>
      </c>
      <c r="G24" s="56" t="s">
        <v>189</v>
      </c>
      <c r="H24" s="56" t="s">
        <v>189</v>
      </c>
      <c r="I24" s="48"/>
      <c r="J24" s="48"/>
      <c r="K24" s="40"/>
      <c r="L24" s="41"/>
      <c r="M24" s="48"/>
      <c r="N24" s="39"/>
      <c r="O24" s="39"/>
      <c r="P24" s="39"/>
      <c r="Q24" s="42"/>
    </row>
    <row r="25" spans="1:17" s="9" customFormat="1" ht="24" customHeight="1" x14ac:dyDescent="0.25">
      <c r="A25" s="38"/>
      <c r="B25" s="51"/>
      <c r="C25" s="180"/>
      <c r="D25" s="78" t="s">
        <v>189</v>
      </c>
      <c r="E25" s="79" t="s">
        <v>189</v>
      </c>
      <c r="F25" s="56" t="s">
        <v>189</v>
      </c>
      <c r="G25" s="56" t="s">
        <v>189</v>
      </c>
      <c r="H25" s="56" t="s">
        <v>189</v>
      </c>
      <c r="I25" s="48"/>
      <c r="J25" s="48"/>
      <c r="K25" s="40"/>
      <c r="L25" s="41"/>
      <c r="M25" s="48"/>
      <c r="N25" s="39"/>
      <c r="O25" s="39"/>
      <c r="P25" s="39"/>
      <c r="Q25" s="42"/>
    </row>
    <row r="26" spans="1:17" s="9" customFormat="1" ht="24" customHeight="1" x14ac:dyDescent="0.25">
      <c r="A26" s="38"/>
      <c r="B26" s="51"/>
      <c r="C26" s="180"/>
      <c r="D26" s="78" t="s">
        <v>189</v>
      </c>
      <c r="E26" s="79" t="s">
        <v>189</v>
      </c>
      <c r="F26" s="56" t="s">
        <v>189</v>
      </c>
      <c r="G26" s="56" t="s">
        <v>189</v>
      </c>
      <c r="H26" s="56" t="s">
        <v>189</v>
      </c>
      <c r="I26" s="48"/>
      <c r="J26" s="48"/>
      <c r="K26" s="40"/>
      <c r="L26" s="41"/>
      <c r="M26" s="48"/>
      <c r="N26" s="39"/>
      <c r="O26" s="39"/>
      <c r="P26" s="39"/>
      <c r="Q26" s="42"/>
    </row>
    <row r="27" spans="1:17" s="9" customFormat="1" ht="24" customHeight="1" x14ac:dyDescent="0.25">
      <c r="A27" s="38" t="s">
        <v>7</v>
      </c>
      <c r="B27" s="51" t="s">
        <v>190</v>
      </c>
      <c r="C27" s="180" t="s">
        <v>29</v>
      </c>
      <c r="D27" s="78" t="s">
        <v>189</v>
      </c>
      <c r="E27" s="79" t="s">
        <v>189</v>
      </c>
      <c r="F27" s="56" t="s">
        <v>189</v>
      </c>
      <c r="G27" s="56" t="s">
        <v>189</v>
      </c>
      <c r="H27" s="56" t="s">
        <v>189</v>
      </c>
      <c r="I27" s="39">
        <v>50</v>
      </c>
      <c r="J27" s="44"/>
      <c r="K27" s="40">
        <v>2</v>
      </c>
      <c r="L27" s="41">
        <v>7</v>
      </c>
      <c r="M27" s="39">
        <f t="shared" ref="M27:M29" si="20">(I27+J27)*K27*L27</f>
        <v>700</v>
      </c>
      <c r="N27" s="39">
        <v>1</v>
      </c>
      <c r="O27" s="39">
        <f t="shared" ref="O27:O29" si="21">M27*N27</f>
        <v>700</v>
      </c>
      <c r="P27" s="39"/>
      <c r="Q27" s="42"/>
    </row>
    <row r="28" spans="1:17" s="9" customFormat="1" ht="24" customHeight="1" x14ac:dyDescent="0.25">
      <c r="A28" s="38" t="s">
        <v>7</v>
      </c>
      <c r="B28" s="51" t="s">
        <v>31</v>
      </c>
      <c r="C28" s="180"/>
      <c r="D28" s="78" t="s">
        <v>189</v>
      </c>
      <c r="E28" s="79" t="s">
        <v>189</v>
      </c>
      <c r="F28" s="56" t="s">
        <v>189</v>
      </c>
      <c r="G28" s="56" t="s">
        <v>189</v>
      </c>
      <c r="H28" s="56" t="s">
        <v>189</v>
      </c>
      <c r="I28" s="39">
        <v>100</v>
      </c>
      <c r="J28" s="44"/>
      <c r="K28" s="40">
        <v>2</v>
      </c>
      <c r="L28" s="41">
        <v>14</v>
      </c>
      <c r="M28" s="39">
        <f t="shared" ref="M28" si="22">(I28+J28)*K28*L28</f>
        <v>2800</v>
      </c>
      <c r="N28" s="39">
        <v>1</v>
      </c>
      <c r="O28" s="39">
        <f t="shared" ref="O28" si="23">M28*N28</f>
        <v>2800</v>
      </c>
      <c r="P28" s="39"/>
      <c r="Q28" s="42"/>
    </row>
    <row r="29" spans="1:17" s="9" customFormat="1" ht="24" customHeight="1" x14ac:dyDescent="0.25">
      <c r="A29" s="38" t="s">
        <v>7</v>
      </c>
      <c r="B29" s="51" t="s">
        <v>32</v>
      </c>
      <c r="C29" s="180"/>
      <c r="D29" s="78" t="s">
        <v>189</v>
      </c>
      <c r="E29" s="79" t="s">
        <v>189</v>
      </c>
      <c r="F29" s="56" t="s">
        <v>189</v>
      </c>
      <c r="G29" s="56" t="s">
        <v>189</v>
      </c>
      <c r="H29" s="56" t="s">
        <v>189</v>
      </c>
      <c r="I29" s="39">
        <v>100</v>
      </c>
      <c r="J29" s="44"/>
      <c r="K29" s="40">
        <v>2</v>
      </c>
      <c r="L29" s="41">
        <v>14</v>
      </c>
      <c r="M29" s="39">
        <f t="shared" si="20"/>
        <v>2800</v>
      </c>
      <c r="N29" s="39">
        <v>1</v>
      </c>
      <c r="O29" s="39">
        <f t="shared" si="21"/>
        <v>2800</v>
      </c>
      <c r="P29" s="39"/>
      <c r="Q29" s="42"/>
    </row>
    <row r="30" spans="1:17" ht="24" customHeight="1" x14ac:dyDescent="0.25">
      <c r="I30" s="1"/>
      <c r="J30" s="1"/>
      <c r="K30" s="2"/>
      <c r="L30" s="2"/>
      <c r="M30" s="2"/>
      <c r="N30" s="49" t="s">
        <v>15</v>
      </c>
      <c r="O30" s="50">
        <f>SUMIF($A2:$A29,"►",O2:O29)</f>
        <v>31512.193218405806</v>
      </c>
      <c r="P30" s="50">
        <f>SUMIF($A2:$A29,"►",P2:P29)</f>
        <v>13714.6291011458</v>
      </c>
    </row>
    <row r="31" spans="1:17" ht="24" customHeight="1" x14ac:dyDescent="0.25">
      <c r="B31" s="1"/>
      <c r="C31" s="1"/>
      <c r="F31" s="1"/>
      <c r="K31" s="1"/>
      <c r="L31" s="1"/>
      <c r="M31" s="1"/>
      <c r="N31" s="49" t="s">
        <v>27</v>
      </c>
      <c r="O31" s="50">
        <f>O30-P30</f>
        <v>17797.564117260008</v>
      </c>
    </row>
    <row r="32" spans="1:17" ht="24" customHeight="1" x14ac:dyDescent="0.25">
      <c r="B32" s="1"/>
      <c r="C32" s="1"/>
      <c r="F32" s="1"/>
      <c r="K32" s="1"/>
      <c r="L32" s="1"/>
      <c r="M32" s="1"/>
      <c r="N32" s="1"/>
      <c r="O32" s="1"/>
    </row>
    <row r="33" spans="2:15" ht="24" customHeight="1" x14ac:dyDescent="0.25">
      <c r="B33" s="1"/>
      <c r="C33" s="1"/>
      <c r="F33" s="1"/>
      <c r="K33" s="1"/>
      <c r="L33" s="1"/>
      <c r="M33" s="183" t="s">
        <v>24</v>
      </c>
      <c r="N33" s="183"/>
      <c r="O33" s="45">
        <v>5.66</v>
      </c>
    </row>
    <row r="34" spans="2:15" ht="24" customHeight="1" x14ac:dyDescent="0.25">
      <c r="M34" s="183" t="s">
        <v>30</v>
      </c>
      <c r="N34" s="183"/>
      <c r="O34" s="46">
        <v>6.234E-3</v>
      </c>
    </row>
    <row r="35" spans="2:15" ht="24" customHeight="1" x14ac:dyDescent="0.25">
      <c r="M35" s="76"/>
      <c r="N35" s="76" t="s">
        <v>194</v>
      </c>
      <c r="O35" s="46">
        <v>6.2729999999999997</v>
      </c>
    </row>
    <row r="36" spans="2:15" ht="24" customHeight="1" x14ac:dyDescent="0.25">
      <c r="M36" s="183" t="s">
        <v>25</v>
      </c>
      <c r="N36" s="183"/>
      <c r="O36" s="47">
        <v>6.3799999999999996E-2</v>
      </c>
    </row>
    <row r="37" spans="2:15" ht="24" customHeight="1" x14ac:dyDescent="0.25">
      <c r="M37" s="183" t="s">
        <v>185</v>
      </c>
      <c r="N37" s="183"/>
      <c r="O37" s="47">
        <f>(3.5+0.81)/100</f>
        <v>4.3100000000000006E-2</v>
      </c>
    </row>
  </sheetData>
  <mergeCells count="9">
    <mergeCell ref="M37:N37"/>
    <mergeCell ref="M33:N33"/>
    <mergeCell ref="M34:N34"/>
    <mergeCell ref="M36:N36"/>
    <mergeCell ref="F1:H1"/>
    <mergeCell ref="C2:C9"/>
    <mergeCell ref="C10:C17"/>
    <mergeCell ref="C24:C26"/>
    <mergeCell ref="C27:C29"/>
  </mergeCells>
  <hyperlinks>
    <hyperlink ref="E10" r:id="rId1" xr:uid="{00000000-0004-0000-0A00-000001000000}"/>
    <hyperlink ref="E16" r:id="rId2" xr:uid="{00000000-0004-0000-0A00-000002000000}"/>
    <hyperlink ref="E6" r:id="rId3" xr:uid="{69432BE8-CBFC-4551-8867-F17FF7B305D1}"/>
    <hyperlink ref="E7" r:id="rId4" xr:uid="{1591C942-2124-4481-8558-68E21F19A275}"/>
    <hyperlink ref="E4" r:id="rId5" xr:uid="{3079B768-4351-4E6D-9A70-5CE7207916B3}"/>
    <hyperlink ref="E11" r:id="rId6" xr:uid="{66E37741-756F-4D5B-A7B9-33053415A8A0}"/>
    <hyperlink ref="E12" r:id="rId7" xr:uid="{AE1156E2-8FBE-4C2D-845A-9B23103C1E10}"/>
    <hyperlink ref="E13" r:id="rId8" xr:uid="{BD951E8D-9886-46D3-83F1-A0C703228575}"/>
    <hyperlink ref="E15" r:id="rId9" xr:uid="{AA860B93-DA67-4766-A9C5-CDF74F3B3A49}"/>
    <hyperlink ref="E14" r:id="rId10" xr:uid="{BC65CCCE-7540-49FA-8A83-57F38AE68534}"/>
    <hyperlink ref="E18" r:id="rId11" xr:uid="{9F75CE9B-A8D4-4BFC-95C7-583D75770A54}"/>
    <hyperlink ref="E23" r:id="rId12" xr:uid="{281343EA-1746-4A5F-85ED-28C724724ABC}"/>
  </hyperlinks>
  <pageMargins left="0.511811024" right="0.511811024" top="0.78740157499999996" bottom="0.78740157499999996" header="0.31496062000000002" footer="0.31496062000000002"/>
  <pageSetup paperSize="9" orientation="portrait" r:id="rId1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Mapa</vt:lpstr>
      <vt:lpstr>Roteiro</vt:lpstr>
      <vt:lpstr>Paradas</vt:lpstr>
      <vt:lpstr>Campings</vt:lpstr>
      <vt:lpstr>Dicas</vt:lpstr>
      <vt:lpstr>Gastos</vt:lpstr>
      <vt:lpstr>Gastos!CHL</vt:lpstr>
      <vt:lpstr>Gastos!CLP</vt:lpstr>
      <vt:lpstr>EUR</vt:lpstr>
      <vt:lpstr>Gastos!IOF</vt:lpstr>
      <vt:lpstr>IOF_Wise</vt:lpstr>
      <vt:lpstr>Gastos!USD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2025-11-19T15:21:03Z</dcterms:modified>
</cp:coreProperties>
</file>